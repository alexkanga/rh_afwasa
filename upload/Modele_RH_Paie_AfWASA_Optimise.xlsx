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9f23a74474f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ueil_Mode_emploi" sheetId="1" r:id="Rd9d7d997c0c74565"/>
    <x:sheet xmlns:r="http://schemas.openxmlformats.org/officeDocument/2006/relationships" name="Parametres_Paie" sheetId="2" r:id="R8c9251c66ac14fc7"/>
    <x:sheet xmlns:r="http://schemas.openxmlformats.org/officeDocument/2006/relationships" name="Base_Personnel" sheetId="3" r:id="R19978ae795744c32"/>
    <x:sheet xmlns:r="http://schemas.openxmlformats.org/officeDocument/2006/relationships" name="Profils_Paie" sheetId="4" r:id="Rd0bee049aed14423"/>
    <x:sheet xmlns:r="http://schemas.openxmlformats.org/officeDocument/2006/relationships" name="Lot_paie" sheetId="5" r:id="R2ce294f819844c69"/>
    <x:sheet xmlns:r="http://schemas.openxmlformats.org/officeDocument/2006/relationships" name="Bulletin_Individuel" sheetId="6" r:id="R033f05e395f74b2f"/>
    <x:sheet xmlns:r="http://schemas.openxmlformats.org/officeDocument/2006/relationships" name="Bulletins_Impression" sheetId="7" r:id="R7a3a46254ef1412b"/>
    <x:sheet xmlns:r="http://schemas.openxmlformats.org/officeDocument/2006/relationships" name="Dashboard_RH_Paie" sheetId="8" r:id="Rc290f2430e7044a5"/>
    <x:sheet xmlns:r="http://schemas.openxmlformats.org/officeDocument/2006/relationships" name="Export_App" sheetId="9" r:id="R6f8c96dd34994240"/>
    <x:sheet xmlns:r="http://schemas.openxmlformats.org/officeDocument/2006/relationships" name="Controle_Qualite" sheetId="10" r:id="R2d8226a517f3470e"/>
    <x:sheet xmlns:r="http://schemas.openxmlformats.org/officeDocument/2006/relationships" name="Listes" sheetId="11" r:id="R2b357747fd2340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dd/mm/yyyy"/>
    <x:numFmt numFmtId="203" formatCode="dd/mm/yyyy hh:mm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sz val="11"/>
      <x:color rgb="FF111827"/>
      <x:name val="Carlito"/>
    </x:font>
    <x:font>
      <x:b/>
      <x:sz val="13"/>
      <x:color rgb="FFFFFFFF"/>
      <x:name val="Carlito"/>
    </x:font>
    <x:font>
      <x:b/>
      <x:sz val="11"/>
      <x:color rgb="FF11182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362981"/>
      </x:patternFill>
    </x:fill>
    <x:fill>
      <x:patternFill patternType="solid">
        <x:fgColor rgb="FF0E2F44"/>
      </x:patternFill>
    </x:fill>
    <x:fill>
      <x:patternFill patternType="solid">
        <x:fgColor rgb="FFEBF3F5"/>
      </x:patternFill>
    </x:fill>
    <x:fill>
      <x:patternFill patternType="solid">
        <x:fgColor rgb="FFFFF7ED"/>
      </x:patternFill>
    </x:fill>
    <x:fill>
      <x:patternFill patternType="solid">
        <x:fgColor rgb="FF009446"/>
      </x:patternFill>
    </x:fill>
    <x:fill>
      <x:patternFill patternType="solid">
        <x:fgColor rgb="FFFEF3C7"/>
      </x:patternFill>
    </x:fill>
    <x:fill>
      <x:patternFill patternType="solid">
        <x:fgColor rgb="FFE6F4EC"/>
      </x:patternFill>
    </x:fill>
    <x:fill>
      <x:patternFill patternType="solid">
        <x:fgColor rgb="FFDC2626"/>
      </x:patternFill>
    </x:fill>
  </x:fills>
  <x:borders count="2">
    <x:border/>
    <x:border/>
  </x:borders>
  <x:cellStyleXfs count="1">
    <x:xf numFmtId="0" fontId="0" fillId="0" borderId="0"/>
  </x:cellStyleXfs>
  <x:cellXfs count="1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200" fontId="5" fillId="5" borderId="0" xfId="0" applyNumberFormat="1" applyFont="1" applyFill="1" applyBorder="1" applyAlignment="1">
      <x:alignment wrapText="1"/>
    </x:xf>
    <x:xf numFmtId="200" fontId="5" fillId="5" borderId="1" xfId="0" applyNumberFormat="1" applyFont="1" applyFill="1" applyBorder="1" applyAlignment="1">
      <x:alignment wrapText="1"/>
    </x:xf>
    <x:xf numFmtId="201" fontId="5" fillId="5" borderId="0" xfId="0" applyNumberFormat="1" applyFont="1" applyFill="1" applyBorder="1" applyAlignment="1">
      <x:alignment wrapText="1"/>
    </x:xf>
    <x:xf numFmtId="201" fontId="5" fillId="5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5" borderId="0" xfId="0" applyNumberFormat="1" applyFont="1" applyFill="1" applyBorder="1"/>
    <x:xf numFmtId="202" fontId="5" fillId="5" borderId="0" xfId="0" applyNumberFormat="1" applyFont="1" applyFill="1" applyBorder="1"/>
    <x:xf numFmtId="202" fontId="5" fillId="5" borderId="0" xfId="0" applyNumberFormat="1" applyFont="1" applyFill="1" applyBorder="1" applyAlignment="1">
      <x:alignment wrapText="1"/>
    </x:xf>
    <x:xf numFmtId="202" fontId="0" fillId="5" borderId="1" xfId="0" applyNumberFormat="1" applyFont="1" applyFill="1" applyBorder="1"/>
    <x:xf numFmtId="202" fontId="5" fillId="5" borderId="1" xfId="0" applyNumberFormat="1" applyFont="1" applyFill="1" applyBorder="1"/>
    <x:xf numFmtId="202" fontId="5" fillId="5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5" fillId="5" borderId="0" xfId="0" applyNumberFormat="1" applyFont="1" applyFill="1" applyBorder="1"/>
    <x:xf numFmtId="200" fontId="5" fillId="5" borderId="0" xfId="0" applyNumberFormat="1" applyFont="1" applyFill="1" applyBorder="1"/>
    <x:xf numFmtId="201" fontId="0" fillId="5" borderId="1" xfId="0" applyNumberFormat="1" applyFont="1" applyFill="1" applyBorder="1"/>
    <x:xf numFmtId="200" fontId="0" fillId="5" borderId="1" xfId="0" applyNumberFormat="1" applyFont="1" applyFill="1" applyBorder="1"/>
    <x:xf numFmtId="201" fontId="5" fillId="5" borderId="1" xfId="0" applyNumberFormat="1" applyFont="1" applyFill="1" applyBorder="1"/>
    <x:xf numFmtId="200" fontId="5" fillId="5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1" fontId="0" fillId="4" borderId="1" xfId="0" applyNumberFormat="1" applyFont="1" applyFill="1" applyBorder="1" applyAlignment="1">
      <x:alignment wrapText="1"/>
    </x:xf>
    <x:xf numFmtId="201" fontId="3" fillId="4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201" fontId="0" fillId="7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201" fontId="3" fillId="7" borderId="0" xfId="0" applyNumberFormat="1" applyFont="1" applyFill="1" applyBorder="1" applyAlignment="1">
      <x:alignment wrapText="1"/>
    </x:xf>
    <x:xf numFmtId="200" fontId="3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1" fontId="0" fillId="7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201" fontId="3" fillId="7" borderId="1" xfId="0" applyNumberFormat="1" applyFont="1" applyFill="1" applyBorder="1" applyAlignment="1">
      <x:alignment wrapText="1"/>
    </x:xf>
    <x:xf numFmtId="200" fontId="3" fillId="7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201" fontId="6" fillId="6" borderId="0" xfId="0" applyNumberFormat="1" applyFont="1" applyFill="1" applyBorder="1" applyAlignment="1">
      <x:alignment wrapText="1"/>
    </x:xf>
    <x:xf numFmtId="20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201" fontId="6" fillId="6" borderId="1" xfId="0" applyNumberFormat="1" applyFont="1" applyFill="1" applyBorder="1" applyAlignment="1">
      <x:alignment wrapText="1"/>
    </x:xf>
    <x:xf numFmtId="200" fontId="6" fillId="6" borderId="1" xfId="0" applyNumberFormat="1" applyFont="1" applyFill="1" applyBorder="1" applyAlignment="1">
      <x:alignment wrapText="1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wrapText="1"/>
    </x:xf>
    <x:xf numFmtId="201" fontId="2" fillId="6" borderId="0" xfId="0" applyNumberFormat="1" applyFont="1" applyFill="1" applyBorder="1" applyAlignment="1">
      <x:alignment wrapText="1"/>
    </x:xf>
    <x:xf numFmtId="200" fontId="2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201" fontId="2" fillId="6" borderId="1" xfId="0" applyNumberFormat="1" applyFont="1" applyFill="1" applyBorder="1" applyAlignment="1">
      <x:alignment wrapText="1"/>
    </x:xf>
    <x:xf numFmtId="200" fontId="2" fillId="6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horizontal="center"/>
    </x:xf>
    <x:xf numFmtId="0" fontId="7" fillId="8" borderId="1" xfId="0" applyNumberFormat="1" applyFont="1" applyFill="1" applyBorder="1" applyAlignment="1">
      <x:alignment horizontal="center" vertical="center"/>
    </x:xf>
    <x:xf numFmtId="201" fontId="7" fillId="8" borderId="0" xfId="0" applyNumberFormat="1" applyFont="1" applyFill="1" applyBorder="1" applyAlignment="1">
      <x:alignment horizontal="center" vertical="center"/>
    </x:xf>
    <x:xf numFmtId="201" fontId="7" fillId="8" borderId="1" xfId="0" applyNumberFormat="1" applyFont="1" applyFill="1" applyBorder="1" applyAlignment="1">
      <x:alignment horizontal="center" vertical="center"/>
    </x:xf>
    <x:xf numFmtId="201" fontId="7" fillId="4" borderId="0" xfId="0" applyNumberFormat="1" applyFont="1" applyFill="1" applyBorder="1" applyAlignment="1">
      <x:alignment horizontal="center" vertical="center"/>
    </x:xf>
    <x:xf numFmtId="201" fontId="7" fillId="4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7dd946bf0241a4" /><Relationship Type="http://schemas.openxmlformats.org/officeDocument/2006/relationships/theme" Target="/xl/theme/theme1.xml" Id="Re2196393499a44b1" /><Relationship Type="http://schemas.openxmlformats.org/officeDocument/2006/relationships/sharedStrings" Target="/xl/sharedStrings.xml" Id="R89063dbe24ea453e" /><Relationship Type="http://schemas.openxmlformats.org/officeDocument/2006/relationships/worksheet" Target="/xl/worksheets/sheet1.xml" Id="Rd9d7d997c0c74565" /><Relationship Type="http://schemas.openxmlformats.org/officeDocument/2006/relationships/worksheet" Target="/xl/worksheets/sheet2.xml" Id="R8c9251c66ac14fc7" /><Relationship Type="http://schemas.openxmlformats.org/officeDocument/2006/relationships/worksheet" Target="/xl/worksheets/sheet3.xml" Id="R19978ae795744c32" /><Relationship Type="http://schemas.openxmlformats.org/officeDocument/2006/relationships/worksheet" Target="/xl/worksheets/sheet4.xml" Id="Rd0bee049aed14423" /><Relationship Type="http://schemas.openxmlformats.org/officeDocument/2006/relationships/worksheet" Target="/xl/worksheets/sheet5.xml" Id="R2ce294f819844c69" /><Relationship Type="http://schemas.openxmlformats.org/officeDocument/2006/relationships/worksheet" Target="/xl/worksheets/sheet6.xml" Id="R033f05e395f74b2f" /><Relationship Type="http://schemas.openxmlformats.org/officeDocument/2006/relationships/worksheet" Target="/xl/worksheets/sheet7.xml" Id="R7a3a46254ef1412b" /><Relationship Type="http://schemas.openxmlformats.org/officeDocument/2006/relationships/worksheet" Target="/xl/worksheets/sheet8.xml" Id="Rc290f2430e7044a5" /><Relationship Type="http://schemas.openxmlformats.org/officeDocument/2006/relationships/worksheet" Target="/xl/worksheets/sheet9.xml" Id="R6f8c96dd34994240" /><Relationship Type="http://schemas.openxmlformats.org/officeDocument/2006/relationships/worksheet" Target="/xl/worksheets/sheet10.xml" Id="R2d8226a517f3470e" /><Relationship Type="http://schemas.openxmlformats.org/officeDocument/2006/relationships/worksheet" Target="/xl/worksheets/sheet11.xml" Id="R2b357747fd2340a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002a3c3386f483e" /><Relationship Type="http://schemas.openxmlformats.org/officeDocument/2006/relationships/chart" Target="/xl/drawings/charts/chart2.xml" Id="Rcd2d9f26d9eb4450" /><Relationship Type="http://schemas.openxmlformats.org/officeDocument/2006/relationships/chart" Target="/xl/drawings/charts/chart3.xml" Id="Re76117c6e124468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Effectif par direction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'Dashboard_RH_Paie'!$A$10:$A$12</c:f>
              <c:strCache>
                <c:ptCount val="0"/>
              </c:strCache>
            </c:strRef>
          </c:cat>
          <c:val>
            <c:numRef>
              <c:f>'Dashboard_RH_Paie'!$B$10:$B$12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Répartition par genre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Series 1</c:v>
          </c:tx>
          <c:cat>
            <c:strRef>
              <c:f>'Dashboard_RH_Paie'!$G$10:$G$11</c:f>
              <c:strCache>
                <c:ptCount val="0"/>
              </c:strCache>
            </c:strRef>
          </c:cat>
          <c:val>
            <c:numRef>
              <c:f>'Dashboard_RH_Paie'!$H$10:$H$11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Répartition par tranche d’âge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'Dashboard_RH_Paie'!$E$17:$E$21</c:f>
              <c:strCache>
                <c:ptCount val="0"/>
              </c:strCache>
            </c:strRef>
          </c:cat>
          <c:val>
            <c:numRef>
              <c:f>'Dashboard_RH_Paie'!$F$17:$F$21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02a3c3386f483e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2d9f26d9eb4450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6</xdr:col>
      <xdr:colOff>0</xdr:colOff>
      <xdr:row>58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6117c6e124468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sePersonnelTable" displayName="BasePersonnelTable" ref="A1:AB36" headerRowCount="1">
  <x:tableColumns count="28">
    <x:tableColumn id="1" name="Matricule"/>
    <x:tableColumn id="2" name="Nom"/>
    <x:tableColumn id="3" name="Prénom"/>
    <x:tableColumn id="4" name="Sexe"/>
    <x:tableColumn id="5" name="Date de naissance"/>
    <x:tableColumn id="6" name="Âge source"/>
    <x:tableColumn id="7" name="Lieu de naissance"/>
    <x:tableColumn id="8" name="Nationalité"/>
    <x:tableColumn id="9" name="Numéro CNI / Passeport"/>
    <x:tableColumn id="10" name="Situation matrimoniale"/>
    <x:tableColumn id="11" name="Nombre d’enfants"/>
    <x:tableColumn id="12" name="Adresse"/>
    <x:tableColumn id="13" name="Téléphone personnel"/>
    <x:tableColumn id="14" name="Email"/>
    <x:tableColumn id="15" name="Personne à contacter urgence"/>
    <x:tableColumn id="16" name="Contact urgence"/>
    <x:tableColumn id="17" name="Poste actuel"/>
    <x:tableColumn id="18" name="Département / Service"/>
    <x:tableColumn id="19" name="Lieu d’affectation"/>
    <x:tableColumn id="20" name="Type de contrat"/>
    <x:tableColumn id="21" name="Date d’entrée"/>
    <x:tableColumn id="22" name="Date de fin de contrat"/>
    <x:tableColumn id="23" name="Ancienneté"/>
    <x:tableColumn id="24" name="Matricule CNPS"/>
    <x:tableColumn id="25" name="Statut"/>
    <x:tableColumn id="26" name="Direction normalisée"/>
    <x:tableColumn id="27" name="Âge calculé"/>
    <x:tableColumn id="28" name="Contrat expiré ?"/>
  </x:tableColumns>
  <x:tableStyleInfo name="TableStyleMedium2" showRowStripes="1"/>
</x:table>
</file>

<file path=xl/tables/table2.xml><?xml version="1.0" encoding="utf-8"?>
<x:table xmlns:x="http://schemas.openxmlformats.org/spreadsheetml/2006/main" id="2" name="ProfilsPaieTable" displayName="ProfilsPaieTable" ref="A1:O36" headerRowCount="1">
  <x:tableColumns count="15">
    <x:tableColumn id="1" name="Matricule"/>
    <x:tableColumn id="2" name="Salaire de base"/>
    <x:tableColumn id="3" name="Sursalaire"/>
    <x:tableColumn id="4" name="Parts IGR"/>
    <x:tableColumn id="5" name="Pers. CMU salarié"/>
    <x:tableColumn id="6" name="Pers. CMU employeur"/>
    <x:tableColumn id="7" name="Transport versé"/>
    <x:tableColumn id="8" name="Primes imposables"/>
    <x:tableColumn id="9" name="Avantages imposables"/>
    <x:tableColumn id="10" name="Autres indemnités non imposables"/>
    <x:tableColumn id="11" name="Taux AT"/>
    <x:tableColumn id="12" name="Base CNPS spécifique"/>
    <x:tableColumn id="13" name="Date effet"/>
    <x:tableColumn id="14" name="Statut profil"/>
    <x:tableColumn id="15" name="Commentaire"/>
  </x:tableColumns>
  <x:tableStyleInfo name="TableStyleMedium2" showRowStripes="1"/>
</x:table>
</file>

<file path=xl/tables/table3.xml><?xml version="1.0" encoding="utf-8"?>
<x:table xmlns:x="http://schemas.openxmlformats.org/spreadsheetml/2006/main" id="3" name="LotPaieTable" displayName="LotPaieTable" ref="A1:AW36" headerRowCount="1">
  <x:tableColumns count="49">
    <x:tableColumn id="1" name="Matricule"/>
    <x:tableColumn id="2" name="Nom"/>
    <x:tableColumn id="3" name="Prénom"/>
    <x:tableColumn id="4" name="Direction"/>
    <x:tableColumn id="5" name="Département/Service"/>
    <x:tableColumn id="6" name="Poste"/>
    <x:tableColumn id="7" name="Type contrat"/>
    <x:tableColumn id="8" name="Statut RH"/>
    <x:tableColumn id="9" name="Date entrée"/>
    <x:tableColumn id="10" name="Matricule CNPS"/>
    <x:tableColumn id="11" name="Salaire de base"/>
    <x:tableColumn id="12" name="Sursalaire"/>
    <x:tableColumn id="13" name="Parts IGR"/>
    <x:tableColumn id="14" name="Pers. CMU salarié"/>
    <x:tableColumn id="15" name="Pers. CMU employeur"/>
    <x:tableColumn id="16" name="Transport versé"/>
    <x:tableColumn id="17" name="Primes imposables"/>
    <x:tableColumn id="18" name="Avantages imposables"/>
    <x:tableColumn id="19" name="Autres indemn. non imposables"/>
    <x:tableColumn id="20" name="Taux AT"/>
    <x:tableColumn id="21" name="Ancienneté années"/>
    <x:tableColumn id="22" name="Ancienneté affichée"/>
    <x:tableColumn id="23" name="Taux ancienneté"/>
    <x:tableColumn id="24" name="Prime ancienneté"/>
    <x:tableColumn id="25" name="Transport non imposable"/>
    <x:tableColumn id="26" name="Transport imposable"/>
    <x:tableColumn id="27" name="Brut imposable"/>
    <x:tableColumn id="28" name="Base CNPS retraite"/>
    <x:tableColumn id="29" name="CNPS salarié"/>
    <x:tableColumn id="30" name="CMU salarié"/>
    <x:tableColumn id="31" name="RICF"/>
    <x:tableColumn id="32" name="ITS"/>
    <x:tableColumn id="33" name="Total retenues salarié"/>
    <x:tableColumn id="34" name="CNPS employeur"/>
    <x:tableColumn id="35" name="Prestations familiales"/>
    <x:tableColumn id="36" name="Accident travail"/>
    <x:tableColumn id="37" name="Assurance maternité"/>
    <x:tableColumn id="38" name="CMU employeur"/>
    <x:tableColumn id="39" name="I.S. employeur local"/>
    <x:tableColumn id="40" name="Taxe apprentissage"/>
    <x:tableColumn id="41" name="FPC mensuelle"/>
    <x:tableColumn id="42" name="FPC fin d’année"/>
    <x:tableColumn id="43" name="Total charges patronales"/>
    <x:tableColumn id="44" name="Total non imposable"/>
    <x:tableColumn id="45" name="Salaire brut total"/>
    <x:tableColumn id="46" name="Net à payer"/>
    <x:tableColumn id="47" name="Coût total employeur"/>
    <x:tableColumn id="48" name="Statut contrôle"/>
    <x:tableColumn id="49" name="Voir bulletin"/>
  </x:tableColumns>
  <x:tableStyleInfo name="TableStyleMedium2" showRowStripes="1"/>
</x:table>
</file>

<file path=xl/tables/table4.xml><?xml version="1.0" encoding="utf-8"?>
<x:table xmlns:x="http://schemas.openxmlformats.org/spreadsheetml/2006/main" id="4" name="ExportAppTable" displayName="ExportAppTable" ref="A1:S36" headerRowCount="1">
  <x:tableColumns count="19">
    <x:tableColumn id="1" name="table_cible"/>
    <x:tableColumn id="2" name="matricule"/>
    <x:tableColumn id="3" name="nom"/>
    <x:tableColumn id="4" name="prenom"/>
    <x:tableColumn id="5" name="direction"/>
    <x:tableColumn id="6" name="service"/>
    <x:tableColumn id="7" name="poste"/>
    <x:tableColumn id="8" name="statut"/>
    <x:tableColumn id="9" name="date_entree"/>
    <x:tableColumn id="10" name="matricule_cnps"/>
    <x:tableColumn id="11" name="salaire_base"/>
    <x:tableColumn id="12" name="sursalaire"/>
    <x:tableColumn id="13" name="parts_igr"/>
    <x:tableColumn id="14" name="brut_imposable"/>
    <x:tableColumn id="15" name="retenues_salarie"/>
    <x:tableColumn id="16" name="charges_patronales"/>
    <x:tableColumn id="17" name="net_a_payer"/>
    <x:tableColumn id="18" name="cout_total_employeur"/>
    <x:tableColumn id="19" name="statut_contro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f4ade3a005c45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2d3f61fc7664a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f6ff84203954d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46895984d9e742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4.xml" Id="R2e73d8d70ad94a1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5" hidden="0" customWidth="1"/>
  </x:cols>
  <x:sheetData>
    <x:row r="1" ht="28" customHeight="1">
      <x:c r="A1" s="5" t="str">
        <x:v>MODELE RH &amp; PAIE AAEA / AfWASA – CLASSEUR OPTIMISE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4" t="str">
        <x:v>Section</x:v>
      </x:c>
      <x:c r="B3" s="14" t="str">
        <x:v>Description</x:v>
      </x:c>
    </x:row>
    <x:row r="4">
      <x:c r="A4" s="24" t="str">
        <x:v>Objectif</x:v>
      </x:c>
      <x:c r="B4" s="25" t="str">
        <x:v>Consolider la base complète du personnel, les profils de paie, les calculs automatisés, le bulletin individuel, les bulletins imprimables, les contrôles qualité et un tableau de bord RH/Paie.</x:v>
      </x:c>
    </x:row>
    <x:row r="5">
      <x:c r="A5" s="24" t="str">
        <x:v>Confidentialité</x:v>
      </x:c>
      <x:c r="B5" s="25" t="str">
        <x:v>Le cas test est anonymisé avec le matricule 0000Z. Le matricule original transmis dans les captures n’est pas repris.</x:v>
      </x:c>
    </x:row>
    <x:row r="6">
      <x:c r="A6" s="24" t="str">
        <x:v>Étape 1</x:v>
      </x:c>
      <x:c r="B6" s="25" t="str">
        <x:v>Vérifier Parametres_Paie : période, date de paiement, taux, plafonds, ITS et RICF.</x:v>
      </x:c>
    </x:row>
    <x:row r="7">
      <x:c r="A7" s="24" t="str">
        <x:v>Étape 2</x:v>
      </x:c>
      <x:c r="B7" s="25" t="str">
        <x:v>Vérifier Base_Personnel : informations RH importées depuis la base complète des employés.</x:v>
      </x:c>
    </x:row>
    <x:row r="8">
      <x:c r="A8" s="24" t="str">
        <x:v>Étape 3</x:v>
      </x:c>
      <x:c r="B8" s="25" t="str">
        <x:v>Compléter Profils_Paie : salaire de base, sursalaire, parts IGR, CMU, transport, primes, taux AT.</x:v>
      </x:c>
    </x:row>
    <x:row r="9">
      <x:c r="A9" s="24" t="str">
        <x:v>Étape 4</x:v>
      </x:c>
      <x:c r="B9" s="25" t="str">
        <x:v>Contrôler Lot_paie : les formules calculent ancienneté, brut imposable, ITS, retenues, charges, net à payer et coût employeur.</x:v>
      </x:c>
    </x:row>
    <x:row r="10">
      <x:c r="A10" s="24" t="str">
        <x:v>Étape 5</x:v>
      </x:c>
      <x:c r="B10" s="25" t="str">
        <x:v>Utiliser Bulletin_Individuel pour afficher un bulletin dynamique à partir d’un matricule sélectionné.</x:v>
      </x:c>
    </x:row>
    <x:row r="11">
      <x:c r="A11" s="24" t="str">
        <x:v>Étape 6</x:v>
      </x:c>
      <x:c r="B11" s="25" t="str">
        <x:v>Utiliser Bulletins_Impression pour voir un bloc imprimable par employé. La colonne Voir bulletin de Lot_paie pointe vers ce bloc.</x:v>
      </x:c>
    </x:row>
    <x:row r="12">
      <x:c r="A12" s="24" t="str">
        <x:v>Limite Excel</x:v>
      </x:c>
      <x:c r="B12" s="25" t="str">
        <x:v>Un vrai bouton Télécharger PDF par ligne nécessite une macro .xlsm ou l’application web. Dans ce .xlsx sans macro : lien Voir bulletin ; bouton Télécharger PDF à développer dans Next.js.</x:v>
      </x:c>
    </x:row>
    <x:row r="13">
      <x:c r="A13" s="24" t="str">
        <x:v>Migration</x:v>
      </x:c>
      <x:c r="B13" s="25" t="str">
        <x:v>L’onglet Export_App structure les données pour la future application RH/Paie Next.js + PostgreSQL + Prisma + Vercel.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6" max="6" width="18" hidden="0" customWidth="1"/>
    <x:col min="7" max="7" width="18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>
      <x:c r="A1" s="29" t="str">
        <x:v>PARAMÈTRES DE PAIE – CÔTE D’IVOIRE / AAEA-AfWASA</x:v>
      </x:c>
      <x:c r="B1" s="29"/>
      <x:c r="C1" s="29"/>
      <x:c r="D1" s="29"/>
    </x:row>
    <x:row r="3">
      <x:c r="A3" s="14" t="str">
        <x:v>Code</x:v>
      </x:c>
      <x:c r="B3" s="14" t="str">
        <x:v>Valeur</x:v>
      </x:c>
      <x:c r="C3" s="14" t="str">
        <x:v>Unité</x:v>
      </x:c>
      <x:c r="D3" s="14" t="str">
        <x:v>Notes / règle</x:v>
      </x:c>
      <x:c r="F3" s="14" t="str">
        <x:v>Parts IGR</x:v>
      </x:c>
      <x:c r="G3" s="14" t="str">
        <x:v>RICF mensuelle</x:v>
      </x:c>
      <x:c r="J3" s="14" t="str">
        <x:v>Borne inf.</x:v>
      </x:c>
      <x:c r="K3" s="14" t="str">
        <x:v>Borne sup.</x:v>
      </x:c>
      <x:c r="L3" s="14" t="str">
        <x:v>Taux</x:v>
      </x:c>
      <x:c r="M3" s="14" t="str">
        <x:v>Libellé tranche</x:v>
      </x:c>
    </x:row>
    <x:row r="4">
      <x:c r="A4" s="21" t="str">
        <x:v>CNPS_SALARIE</x:v>
      </x:c>
      <x:c r="B4" s="38" t="n">
        <x:v>0.063</x:v>
      </x:c>
      <x:c r="C4" t="str">
        <x:v>%</x:v>
      </x:c>
      <x:c r="D4" t="str">
        <x:v>Retraite salarié</x:v>
      </x:c>
      <x:c r="F4" t="n">
        <x:v>1</x:v>
      </x:c>
      <x:c r="G4" s="50" t="n">
        <x:v>0</x:v>
      </x:c>
      <x:c r="J4" s="50" t="n">
        <x:v>0</x:v>
      </x:c>
      <x:c r="K4" s="50" t="n">
        <x:v>75000</x:v>
      </x:c>
      <x:c r="L4" s="52" t="n">
        <x:v>0</x:v>
      </x:c>
      <x:c r="M4" t="str">
        <x:v>0 à 75 000</x:v>
      </x:c>
    </x:row>
    <x:row r="5">
      <x:c r="A5" s="21" t="str">
        <x:v>CNPS_EMPLOYEUR</x:v>
      </x:c>
      <x:c r="B5" s="38" t="n">
        <x:v>0.077</x:v>
      </x:c>
      <x:c r="C5" t="str">
        <x:v>%</x:v>
      </x:c>
      <x:c r="D5" t="str">
        <x:v>Retraite employeur</x:v>
      </x:c>
      <x:c r="F5" t="n">
        <x:v>1.5</x:v>
      </x:c>
      <x:c r="G5" s="50" t="n">
        <x:v>5500</x:v>
      </x:c>
      <x:c r="J5" s="50" t="n">
        <x:v>75000</x:v>
      </x:c>
      <x:c r="K5" s="50" t="n">
        <x:v>240000</x:v>
      </x:c>
      <x:c r="L5" s="52" t="n">
        <x:v>0.16</x:v>
      </x:c>
      <x:c r="M5" t="str">
        <x:v>75 001 à 240 000</x:v>
      </x:c>
    </x:row>
    <x:row r="6">
      <x:c r="A6" s="21" t="str">
        <x:v>PLAFOND_CNPS_RETRAITE</x:v>
      </x:c>
      <x:c r="B6" s="40" t="n">
        <x:v>3375000</x:v>
      </x:c>
      <x:c r="C6" t="str">
        <x:v>FCFA</x:v>
      </x:c>
      <x:c r="D6" t="str">
        <x:v>Plafond mensuel retraite à confirmer/mettre à jour</x:v>
      </x:c>
      <x:c r="F6" t="n">
        <x:v>2</x:v>
      </x:c>
      <x:c r="G6" s="50" t="n">
        <x:v>11000</x:v>
      </x:c>
      <x:c r="J6" s="50" t="n">
        <x:v>240000</x:v>
      </x:c>
      <x:c r="K6" s="50" t="n">
        <x:v>800000</x:v>
      </x:c>
      <x:c r="L6" s="52" t="n">
        <x:v>0.21</x:v>
      </x:c>
      <x:c r="M6" t="str">
        <x:v>240 001 à 800 000</x:v>
      </x:c>
    </x:row>
    <x:row r="7">
      <x:c r="A7" s="21" t="str">
        <x:v>BASE_PF_AT_MATERNITE</x:v>
      </x:c>
      <x:c r="B7" s="40" t="n">
        <x:v>75000</x:v>
      </x:c>
      <x:c r="C7" t="str">
        <x:v>FCFA</x:v>
      </x:c>
      <x:c r="D7" t="str">
        <x:v>Base utilisée dans le bulletin réel fourni</x:v>
      </x:c>
      <x:c r="F7" t="n">
        <x:v>2.5</x:v>
      </x:c>
      <x:c r="G7" s="50" t="n">
        <x:v>16500</x:v>
      </x:c>
      <x:c r="J7" s="50" t="n">
        <x:v>800000</x:v>
      </x:c>
      <x:c r="K7" s="50" t="n">
        <x:v>2400000</x:v>
      </x:c>
      <x:c r="L7" s="52" t="n">
        <x:v>0.24</x:v>
      </x:c>
      <x:c r="M7" t="str">
        <x:v>800 001 à 2 400 000</x:v>
      </x:c>
    </x:row>
    <x:row r="8">
      <x:c r="A8" s="21" t="str">
        <x:v>PF_RATE</x:v>
      </x:c>
      <x:c r="B8" s="38" t="n">
        <x:v>0.05</x:v>
      </x:c>
      <x:c r="C8" t="str">
        <x:v>%</x:v>
      </x:c>
      <x:c r="D8" t="str">
        <x:v>Prestations familiales</x:v>
      </x:c>
      <x:c r="F8" t="n">
        <x:v>3</x:v>
      </x:c>
      <x:c r="G8" s="50" t="n">
        <x:v>22000</x:v>
      </x:c>
      <x:c r="J8" s="50" t="n">
        <x:v>2400000</x:v>
      </x:c>
      <x:c r="K8" s="50" t="n">
        <x:v>8000000</x:v>
      </x:c>
      <x:c r="L8" s="52" t="n">
        <x:v>0.28</x:v>
      </x:c>
      <x:c r="M8" t="str">
        <x:v>2 400 001 à 8 000 000</x:v>
      </x:c>
    </x:row>
    <x:row r="9">
      <x:c r="A9" s="21" t="str">
        <x:v>MATERNITY_RATE</x:v>
      </x:c>
      <x:c r="B9" s="34" t="n">
        <x:v>0.0075</x:v>
      </x:c>
      <x:c r="C9" t="str">
        <x:v>%</x:v>
      </x:c>
      <x:c r="D9" t="str">
        <x:v>Assurance maternité</x:v>
      </x:c>
      <x:c r="F9" t="n">
        <x:v>3.5</x:v>
      </x:c>
      <x:c r="G9" s="50" t="n">
        <x:v>27500</x:v>
      </x:c>
      <x:c r="J9" s="50" t="n">
        <x:v>8000000</x:v>
      </x:c>
      <x:c r="K9" s="50" t="n">
        <x:v>999999999</x:v>
      </x:c>
      <x:c r="L9" s="52" t="n">
        <x:v>0.32</x:v>
      </x:c>
      <x:c r="M9" t="str">
        <x:v>Au-delà de 8 000 000</x:v>
      </x:c>
    </x:row>
    <x:row r="10">
      <x:c r="A10" s="21" t="str">
        <x:v>AT_RATE_DEFAULT</x:v>
      </x:c>
      <x:c r="B10" s="38" t="n">
        <x:v>0.02</x:v>
      </x:c>
      <x:c r="C10" t="str">
        <x:v>%</x:v>
      </x:c>
      <x:c r="D10" t="str">
        <x:v>Accident du travail par défaut</x:v>
      </x:c>
      <x:c r="F10" t="n">
        <x:v>4</x:v>
      </x:c>
      <x:c r="G10" s="50" t="n">
        <x:v>33000</x:v>
      </x:c>
    </x:row>
    <x:row r="11">
      <x:c r="A11" s="21" t="str">
        <x:v>TRANSPORT_EXEMPT_LIMIT</x:v>
      </x:c>
      <x:c r="B11" s="40" t="n">
        <x:v>30000</x:v>
      </x:c>
      <x:c r="C11" t="str">
        <x:v>FCFA</x:v>
      </x:c>
      <x:c r="D11" t="str">
        <x:v>Indemnité transport non imposable</x:v>
      </x:c>
      <x:c r="F11" t="n">
        <x:v>4.5</x:v>
      </x:c>
      <x:c r="G11" s="50" t="n">
        <x:v>38500</x:v>
      </x:c>
    </x:row>
    <x:row r="12">
      <x:c r="A12" s="21" t="str">
        <x:v>CMU_PER_PERSON</x:v>
      </x:c>
      <x:c r="B12" s="40" t="n">
        <x:v>1000</x:v>
      </x:c>
      <x:c r="C12" t="str">
        <x:v>FCFA</x:v>
      </x:c>
      <x:c r="D12" t="str">
        <x:v>Cotisation CMU totale par personne et par mois</x:v>
      </x:c>
      <x:c r="F12" t="n">
        <x:v>5</x:v>
      </x:c>
      <x:c r="G12" s="50" t="n">
        <x:v>44000</x:v>
      </x:c>
    </x:row>
    <x:row r="13">
      <x:c r="A13" s="21" t="str">
        <x:v>CMU_EMPLOYEE_SHARE</x:v>
      </x:c>
      <x:c r="B13" s="38" t="n">
        <x:v>0.5</x:v>
      </x:c>
      <x:c r="C13" t="str">
        <x:v>%</x:v>
      </x:c>
      <x:c r="D13" t="str">
        <x:v>Part salarié de la CMU</x:v>
      </x:c>
    </x:row>
    <x:row r="14">
      <x:c r="A14" s="21" t="str">
        <x:v>CMU_EMPLOYER_SHARE</x:v>
      </x:c>
      <x:c r="B14" s="38" t="n">
        <x:v>0.5</x:v>
      </x:c>
      <x:c r="C14" t="str">
        <x:v>%</x:v>
      </x:c>
      <x:c r="D14" t="str">
        <x:v>Part employeur de la CMU</x:v>
      </x:c>
    </x:row>
    <x:row r="15">
      <x:c r="A15" s="21" t="str">
        <x:v>IS_EMPLOYEUR_LOCAL_RATE</x:v>
      </x:c>
      <x:c r="B15" s="38" t="n">
        <x:v>0.012</x:v>
      </x:c>
      <x:c r="C15" t="str">
        <x:v>%</x:v>
      </x:c>
      <x:c r="D15" t="str">
        <x:v>Contribution employeur local observée</x:v>
      </x:c>
    </x:row>
    <x:row r="16">
      <x:c r="A16" s="21" t="str">
        <x:v>APPRENTISSAGE_RATE</x:v>
      </x:c>
      <x:c r="B16" s="38" t="n">
        <x:v>0.004</x:v>
      </x:c>
      <x:c r="C16" t="str">
        <x:v>%</x:v>
      </x:c>
      <x:c r="D16" t="str">
        <x:v>Taxe d’apprentissage</x:v>
      </x:c>
    </x:row>
    <x:row r="17">
      <x:c r="A17" s="21" t="str">
        <x:v>FPC_MENSUELLE_RATE</x:v>
      </x:c>
      <x:c r="B17" s="38" t="n">
        <x:v>0.006</x:v>
      </x:c>
      <x:c r="C17" t="str">
        <x:v>%</x:v>
      </x:c>
      <x:c r="D17" t="str">
        <x:v>FPC mensuelle</x:v>
      </x:c>
    </x:row>
    <x:row r="18">
      <x:c r="A18" s="21" t="str">
        <x:v>FPC_FIN_ANNEE_RATE</x:v>
      </x:c>
      <x:c r="B18" s="38" t="n">
        <x:v>0.006</x:v>
      </x:c>
      <x:c r="C18" t="str">
        <x:v>%</x:v>
      </x:c>
      <x:c r="D18" t="str">
        <x:v>FPC fin d’année</x:v>
      </x:c>
    </x:row>
    <x:row r="19">
      <x:c r="A19" s="21" t="str">
        <x:v>ALERTE_CONTRAT_JOURS</x:v>
      </x:c>
      <x:c r="B19" s="40" t="n">
        <x:v>60</x:v>
      </x:c>
      <x:c r="C19" t="str">
        <x:v>jours</x:v>
      </x:c>
      <x:c r="D19" t="str">
        <x:v>Contrats arrivant à échéance dans les 60 jours</x:v>
      </x:c>
    </x:row>
    <x:row r="22">
      <x:c r="A22" s="14" t="str">
        <x:v>Période de paie</x:v>
      </x:c>
      <x:c r="B22" s="14" t="str">
        <x:v>Valeur</x:v>
      </x:c>
      <x:c r="C22" s="14" t="str">
        <x:v>Notes</x:v>
      </x:c>
    </x:row>
    <x:row r="23">
      <x:c r="A23" t="str">
        <x:v>Date début période</x:v>
      </x:c>
      <x:c r="B23" s="46" t="n">
        <x:v>45658</x:v>
      </x:c>
      <x:c r="C23" t="str">
        <x:v>Modifiable</x:v>
      </x:c>
    </x:row>
    <x:row r="24">
      <x:c r="A24" t="str">
        <x:v>Date fin période</x:v>
      </x:c>
      <x:c r="B24" s="46" t="n">
        <x:v>45688</x:v>
      </x:c>
      <x:c r="C24" t="str">
        <x:v>Ancienneté calculée sur cette date</x:v>
      </x:c>
    </x:row>
    <x:row r="25">
      <x:c r="A25" t="str">
        <x:v>Date paiement</x:v>
      </x:c>
      <x:c r="B25" s="46" t="n">
        <x:v>45688</x:v>
      </x:c>
      <x:c r="C25" t="str">
        <x:v>Date de paiement du bulletin</x:v>
      </x:c>
    </x:row>
    <x:row r="26">
      <x:c r="A26" t="str">
        <x:v>Libellé période</x:v>
      </x:c>
      <x:c r="B26" s="34" t="str">
        <x:v>Janvier 2025</x:v>
      </x:c>
      <x:c r="C26" t="str">
        <x:v>Affichage bulletin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8" hidden="0" customWidth="1"/>
    <x:col min="13" max="13" width="14" hidden="0" customWidth="1"/>
    <x:col min="14" max="14" width="28" hidden="0" customWidth="1"/>
    <x:col min="15" max="15" width="28" hidden="0" customWidth="1"/>
    <x:col min="16" max="16" width="14" hidden="0" customWidth="1"/>
    <x:col min="17" max="17" width="42" hidden="0" customWidth="1"/>
    <x:col min="18" max="18" width="28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28" hidden="0" customWidth="1"/>
    <x:col min="27" max="27" width="14" hidden="0" customWidth="1"/>
    <x:col min="28" max="28" width="14" hidden="0" customWidth="1"/>
  </x:cols>
  <x:sheetData>
    <x:row r="1">
      <x:c r="A1" s="14" t="str">
        <x:v>Matricule</x:v>
      </x:c>
      <x:c r="B1" s="14" t="str">
        <x:v>Nom</x:v>
      </x:c>
      <x:c r="C1" s="14" t="str">
        <x:v>Prénom</x:v>
      </x:c>
      <x:c r="D1" s="14" t="str">
        <x:v>Sexe</x:v>
      </x:c>
      <x:c r="E1" s="14" t="str">
        <x:v>Date de naissance</x:v>
      </x:c>
      <x:c r="F1" s="14" t="str">
        <x:v>Âge source</x:v>
      </x:c>
      <x:c r="G1" s="14" t="str">
        <x:v>Lieu de naissance</x:v>
      </x:c>
      <x:c r="H1" s="14" t="str">
        <x:v>Nationalité</x:v>
      </x:c>
      <x:c r="I1" s="14" t="str">
        <x:v>Numéro CNI / Passeport</x:v>
      </x:c>
      <x:c r="J1" s="14" t="str">
        <x:v>Situation matrimoniale</x:v>
      </x:c>
      <x:c r="K1" s="14" t="str">
        <x:v>Nombre d’enfants</x:v>
      </x:c>
      <x:c r="L1" s="14" t="str">
        <x:v>Adresse</x:v>
      </x:c>
      <x:c r="M1" s="14" t="str">
        <x:v>Téléphone personnel</x:v>
      </x:c>
      <x:c r="N1" s="14" t="str">
        <x:v>Email</x:v>
      </x:c>
      <x:c r="O1" s="14" t="str">
        <x:v>Personne à contacter urgence</x:v>
      </x:c>
      <x:c r="P1" s="14" t="str">
        <x:v>Contact urgence</x:v>
      </x:c>
      <x:c r="Q1" s="14" t="str">
        <x:v>Poste actuel</x:v>
      </x:c>
      <x:c r="R1" s="14" t="str">
        <x:v>Département / Service</x:v>
      </x:c>
      <x:c r="S1" s="14" t="str">
        <x:v>Lieu d’affectation</x:v>
      </x:c>
      <x:c r="T1" s="14" t="str">
        <x:v>Type de contrat</x:v>
      </x:c>
      <x:c r="U1" s="14" t="str">
        <x:v>Date d’entrée</x:v>
      </x:c>
      <x:c r="V1" s="14" t="str">
        <x:v>Date de fin de contrat</x:v>
      </x:c>
      <x:c r="W1" s="14" t="str">
        <x:v>Ancienneté</x:v>
      </x:c>
      <x:c r="X1" s="14" t="str">
        <x:v>Matricule CNPS</x:v>
      </x:c>
      <x:c r="Y1" s="14" t="str">
        <x:v>Statut</x:v>
      </x:c>
      <x:c r="Z1" s="14" t="str">
        <x:v>Direction normalisée</x:v>
      </x:c>
      <x:c r="AA1" s="14" t="str">
        <x:v>Âge calculé</x:v>
      </x:c>
      <x:c r="AB1" s="14" t="str">
        <x:v>Contrat expiré ?</x:v>
      </x:c>
    </x:row>
    <x:row r="2">
      <x:c r="A2" s="25" t="str">
        <x:v>0103F</x:v>
      </x:c>
      <x:c r="B2" s="25" t="str">
        <x:v>ZOCLI</x:v>
      </x:c>
      <x:c r="C2" s="25" t="str">
        <x:v>Kouessi Christian Ernest Junior</x:v>
      </x:c>
      <x:c r="D2" s="25" t="str">
        <x:v>Homme</x:v>
      </x:c>
      <x:c r="E2" s="54" t="n">
        <x:v>34812</x:v>
      </x:c>
      <x:c r="F2" s="25" t="n">
        <x:v>31</x:v>
      </x:c>
      <x:c r="G2" s="25" t="str">
        <x:v>Cocody</x:v>
      </x:c>
      <x:c r="H2" s="25" t="str">
        <x:v>IVOIRIENNE</x:v>
      </x:c>
      <x:c r="I2" s="25" t="str">
        <x:v>CI003193470</x:v>
      </x:c>
      <x:c r="J2" s="25" t="str">
        <x:v>Célibataire</x:v>
      </x:c>
      <x:c r="K2" s="25" t="n">
        <x:v>1</x:v>
      </x:c>
      <x:c r="L2" s="25" t="str">
        <x:v>Bingerville</x:v>
      </x:c>
      <x:c r="M2" s="25" t="str">
        <x:v>0757548880</x:v>
      </x:c>
      <x:c r="N2" s="25" t="str">
        <x:v>czocli@afwa.org</x:v>
      </x:c>
      <x:c r="O2" s="25" t="str">
        <x:v>SORO Kartia</x:v>
      </x:c>
      <x:c r="P2" s="25" t="str">
        <x:v>0778700856</x:v>
      </x:c>
      <x:c r="Q2" s="25" t="str">
        <x:v>Resp. Conformité Performance</x:v>
      </x:c>
      <x:c r="R2" s="25" t="str">
        <x:v>Cabinet DEX</x:v>
      </x:c>
      <x:c r="S2" s="25" t="str">
        <x:v>Annexe</x:v>
      </x:c>
      <x:c r="T2" s="25" t="str">
        <x:v>CDD</x:v>
      </x:c>
      <x:c r="U2" s="54" t="n">
        <x:v>45341</x:v>
      </x:c>
      <x:c r="V2" s="54" t="n">
        <x:v>46022</x:v>
      </x:c>
      <x:c r="W2" s="25" t="n">
        <x:v>2</x:v>
      </x:c>
      <x:c r="X2" s="25" t="n">
        <x:v>202400033605</x:v>
      </x:c>
      <x:c r="Y2" s="25" t="str">
        <x:v>Actif</x:v>
      </x:c>
      <x:c r="Z2" s="25" t="str">
        <x:v>Cabinet de la Direction Exécutive</x:v>
      </x:c>
      <x:c r="AA2" s="25" t="n">
        <x:v>29</x:v>
      </x:c>
      <x:c r="AB2" s="25" t="str">
        <x:v>Non</x:v>
      </x:c>
    </x:row>
    <x:row r="3">
      <x:c r="A3" s="25" t="str">
        <x:v>0085N</x:v>
      </x:c>
      <x:c r="B3" s="25" t="str">
        <x:v>DANKOULOU</x:v>
      </x:c>
      <x:c r="C3" s="25" t="str">
        <x:v>KHADY YASMINA</x:v>
      </x:c>
      <x:c r="D3" s="25" t="str">
        <x:v>Femme</x:v>
      </x:c>
      <x:c r="E3" s="54" t="n">
        <x:v>31601</x:v>
      </x:c>
      <x:c r="F3" s="25" t="n">
        <x:v>39</x:v>
      </x:c>
      <x:c r="G3" s="25" t="str">
        <x:v>Marcory</x:v>
      </x:c>
      <x:c r="H3" s="25" t="str">
        <x:v>IVOIRIENNE</x:v>
      </x:c>
      <x:c r="I3" s="25" t="str">
        <x:v>C0112552897</x:v>
      </x:c>
      <x:c r="J3" s="25" t="str">
        <x:v>Célibataire</x:v>
      </x:c>
      <x:c r="K3" s="25" t="n">
        <x:v>1</x:v>
      </x:c>
      <x:c r="L3" s="25" t="str">
        <x:v>Dokui Olympe</x:v>
      </x:c>
      <x:c r="M3" s="25" t="str">
        <x:v>0708643075</x:v>
      </x:c>
      <x:c r="N3" s="25" t="str">
        <x:v>kdankoulou@afwasa.org</x:v>
      </x:c>
      <x:c r="O3" s="25" t="str">
        <x:v>Mariko Malado</x:v>
      </x:c>
      <x:c r="P3" s="25" t="str">
        <x:v>0707968928</x:v>
      </x:c>
      <x:c r="Q3" s="25" t="str">
        <x:v>Assistante DMS</x:v>
      </x:c>
      <x:c r="R3" s="25" t="str">
        <x:v>DMS</x:v>
      </x:c>
      <x:c r="S3" s="25" t="str">
        <x:v>Annexe</x:v>
      </x:c>
      <x:c r="T3" s="25" t="str">
        <x:v>CDI</x:v>
      </x:c>
      <x:c r="U3" s="54" t="n">
        <x:v>44873</x:v>
      </x:c>
      <x:c r="V3" s="54" t="str">
        <x:v>N/A</x:v>
      </x:c>
      <x:c r="W3" s="25" t="n">
        <x:v>3</x:v>
      </x:c>
      <x:c r="X3" s="25" t="n">
        <x:v>202300058236</x:v>
      </x:c>
      <x:c r="Y3" s="25" t="str">
        <x:v>Actif</x:v>
      </x:c>
      <x:c r="Z3" s="25" t="str">
        <x:v>Direction des Services aux Membres et des Programmes</x:v>
      </x:c>
      <x:c r="AA3" s="25" t="n">
        <x:v>38</x:v>
      </x:c>
      <x:c r="AB3" s="25" t="str">
        <x:v>Non</x:v>
      </x:c>
    </x:row>
    <x:row r="4">
      <x:c r="A4" s="25" t="str">
        <x:v>0008D</x:v>
      </x:c>
      <x:c r="B4" s="25" t="str">
        <x:v>KOFFI</x:v>
      </x:c>
      <x:c r="C4" s="25" t="str">
        <x:v>Mathieu Kouakou</x:v>
      </x:c>
      <x:c r="D4" s="25" t="str">
        <x:v>Homme</x:v>
      </x:c>
      <x:c r="E4" s="54" t="n">
        <x:v>25529</x:v>
      </x:c>
      <x:c r="F4" s="25" t="n">
        <x:v>56</x:v>
      </x:c>
      <x:c r="G4" s="25" t="str">
        <x:v>Abidjan</x:v>
      </x:c>
      <x:c r="H4" s="25" t="str">
        <x:v>IVOIRIENNE</x:v>
      </x:c>
      <x:c r="I4" s="25" t="str">
        <x:v>CI006758092</x:v>
      </x:c>
      <x:c r="J4" s="25" t="str">
        <x:v>Marié(e)</x:v>
      </x:c>
      <x:c r="K4" s="25" t="n">
        <x:v>5</x:v>
      </x:c>
      <x:c r="L4" s="25" t="str">
        <x:v>Yopougon Santé</x:v>
      </x:c>
      <x:c r="M4" s="25" t="str">
        <x:v>07 47 53 29 58</x:v>
      </x:c>
      <x:c r="N4" s="25" t="str">
        <x:v>mkouakou@afwasa.org</x:v>
      </x:c>
      <x:c r="O4" s="25" t="str">
        <x:v>COMOE OI COMOE Josephine</x:v>
      </x:c>
      <x:c r="P4" s="25" t="str">
        <x:v>07 07 64 89 78</x:v>
      </x:c>
      <x:c r="Q4" s="25" t="str">
        <x:v>Agent Administratif</x:v>
      </x:c>
      <x:c r="R4" s="25" t="str">
        <x:v>DAF</x:v>
      </x:c>
      <x:c r="S4" s="25" t="str">
        <x:v>Siège</x:v>
      </x:c>
      <x:c r="T4" s="25" t="str">
        <x:v>CDI</x:v>
      </x:c>
      <x:c r="U4" s="54" t="n">
        <x:v>36392</x:v>
      </x:c>
      <x:c r="V4" s="54" t="str">
        <x:v>N/A</x:v>
      </x:c>
      <x:c r="W4" s="25" t="n">
        <x:v>26</x:v>
      </x:c>
      <x:c r="X4" s="25" t="n">
        <x:v>169019927028</x:v>
      </x:c>
      <x:c r="Y4" s="25" t="str">
        <x:v>Actif</x:v>
      </x:c>
      <x:c r="Z4" s="25" t="str">
        <x:v>Direction Administrative et Financière</x:v>
      </x:c>
      <x:c r="AA4" s="25" t="n">
        <x:v>55</x:v>
      </x:c>
      <x:c r="AB4" s="25" t="str">
        <x:v>Non</x:v>
      </x:c>
    </x:row>
    <x:row r="5">
      <x:c r="A5" s="25" t="str">
        <x:v>0009A</x:v>
      </x:c>
      <x:c r="B5" s="25" t="str">
        <x:v>DIGBEU</x:v>
      </x:c>
      <x:c r="C5" s="25" t="str">
        <x:v>Aimé Kaloua</x:v>
      </x:c>
      <x:c r="D5" s="25" t="str">
        <x:v>Homme</x:v>
      </x:c>
      <x:c r="E5" s="54" t="n">
        <x:v>24722</x:v>
      </x:c>
      <x:c r="F5" s="25" t="n">
        <x:v>58</x:v>
      </x:c>
      <x:c r="G5" s="25" t="str">
        <x:v>Daloa</x:v>
      </x:c>
      <x:c r="H5" s="25" t="str">
        <x:v>IVOIRIENNE</x:v>
      </x:c>
      <x:c r="I5" s="25" t="str">
        <x:v>CI001514317</x:v>
      </x:c>
      <x:c r="J5" s="25" t="str">
        <x:v>Marié(e)</x:v>
      </x:c>
      <x:c r="K5" s="25" t="n">
        <x:v>2</x:v>
      </x:c>
      <x:c r="L5" s="25" t="str">
        <x:v>Yopougon Toit Rouge</x:v>
      </x:c>
      <x:c r="M5" s="25" t="str">
        <x:v>05 44 25 11 14</x:v>
      </x:c>
      <x:c r="N5" s="25" t="str">
        <x:v>adigbeu@afwasa.org</x:v>
      </x:c>
      <x:c r="O5" s="25" t="str">
        <x:v>DIGBEU Côme Marc</x:v>
      </x:c>
      <x:c r="P5" s="25" t="str">
        <x:v>05 05 05 31 59</x:v>
      </x:c>
      <x:c r="Q5" s="25" t="str">
        <x:v>Responsable Exposition</x:v>
      </x:c>
      <x:c r="R5" s="25" t="str">
        <x:v>DMS</x:v>
      </x:c>
      <x:c r="S5" s="25" t="str">
        <x:v>Annexe</x:v>
      </x:c>
      <x:c r="T5" s="25" t="str">
        <x:v>CDI</x:v>
      </x:c>
      <x:c r="U5" s="54" t="n">
        <x:v>39264</x:v>
      </x:c>
      <x:c r="V5" s="54" t="str">
        <x:v>N/A</x:v>
      </x:c>
      <x:c r="W5" s="25" t="n">
        <x:v>19</x:v>
      </x:c>
      <x:c r="X5" s="25" t="n">
        <x:v>167019400391</x:v>
      </x:c>
      <x:c r="Y5" s="25" t="str">
        <x:v>Actif</x:v>
      </x:c>
      <x:c r="Z5" s="25" t="str">
        <x:v>Direction des Services aux Membres et des Programmes</x:v>
      </x:c>
      <x:c r="AA5" s="25" t="str"/>
      <x:c r="AB5" s="25" t="str">
        <x:v>Non</x:v>
      </x:c>
    </x:row>
    <x:row r="6">
      <x:c r="A6" s="25" t="str">
        <x:v>0010H</x:v>
      </x:c>
      <x:c r="B6" s="25" t="str">
        <x:v>ASSIENIN</x:v>
      </x:c>
      <x:c r="C6" s="25" t="str">
        <x:v>Aya Corine Sylvie</x:v>
      </x:c>
      <x:c r="D6" s="25" t="str">
        <x:v>Femme</x:v>
      </x:c>
      <x:c r="E6" s="54" t="n">
        <x:v>29049</x:v>
      </x:c>
      <x:c r="F6" s="25" t="n">
        <x:v>46</x:v>
      </x:c>
      <x:c r="G6" s="25" t="str">
        <x:v>Adjamé</x:v>
      </x:c>
      <x:c r="H6" s="25" t="str">
        <x:v>IVOIRIENNE</x:v>
      </x:c>
      <x:c r="I6" s="25" t="str">
        <x:v>CI000063385</x:v>
      </x:c>
      <x:c r="J6" s="25" t="str">
        <x:v>Marié(e)</x:v>
      </x:c>
      <x:c r="K6" s="25" t="n">
        <x:v>1</x:v>
      </x:c>
      <x:c r="L6" s="25" t="str">
        <x:v>Bingerville</x:v>
      </x:c>
      <x:c r="M6" s="25" t="str">
        <x:v>0707461039</x:v>
      </x:c>
      <x:c r="N6" s="25" t="str">
        <x:v>cassienin@afwasa.org</x:v>
      </x:c>
      <x:c r="O6" s="25" t="str">
        <x:v>ASSIENIN Brou</x:v>
      </x:c>
      <x:c r="P6" s="25" t="str">
        <x:v>07 07 86 56 65</x:v>
      </x:c>
      <x:c r="Q6" s="25" t="str">
        <x:v>Assistante Ressources Humaines</x:v>
      </x:c>
      <x:c r="R6" s="25" t="str">
        <x:v>DAF</x:v>
      </x:c>
      <x:c r="S6" s="25" t="str">
        <x:v>Siège</x:v>
      </x:c>
      <x:c r="T6" s="25" t="str">
        <x:v>CDI</x:v>
      </x:c>
      <x:c r="U6" s="54" t="n">
        <x:v>38169</x:v>
      </x:c>
      <x:c r="V6" s="54" t="str">
        <x:v>N/A</x:v>
      </x:c>
      <x:c r="W6" s="25" t="n">
        <x:v>22</x:v>
      </x:c>
      <x:c r="X6" s="25" t="n">
        <x:v>279010525990</x:v>
      </x:c>
      <x:c r="Y6" s="25" t="str">
        <x:v>Actif</x:v>
      </x:c>
      <x:c r="Z6" s="25" t="str">
        <x:v>Direction Administrative et Financière</x:v>
      </x:c>
      <x:c r="AA6" s="25" t="n">
        <x:v>45</x:v>
      </x:c>
      <x:c r="AB6" s="25" t="str">
        <x:v>Non</x:v>
      </x:c>
    </x:row>
    <x:row r="7">
      <x:c r="A7" s="25" t="str">
        <x:v>0014D</x:v>
      </x:c>
      <x:c r="B7" s="25" t="str">
        <x:v>N’GUESSAN KOFFI</x:v>
      </x:c>
      <x:c r="C7" s="25" t="str">
        <x:v>Sonia</x:v>
      </x:c>
      <x:c r="D7" s="25" t="str">
        <x:v>Femme</x:v>
      </x:c>
      <x:c r="E7" s="54" t="n">
        <x:v>32826</x:v>
      </x:c>
      <x:c r="F7" s="25" t="n">
        <x:v>36</x:v>
      </x:c>
      <x:c r="G7" s="25" t="str">
        <x:v>Daloa</x:v>
      </x:c>
      <x:c r="H7" s="25" t="str">
        <x:v>IVOIRIENNE</x:v>
      </x:c>
      <x:c r="I7" s="25" t="str">
        <x:v>CI000062584</x:v>
      </x:c>
      <x:c r="J7" s="25" t="str">
        <x:v>Marié(e)</x:v>
      </x:c>
      <x:c r="K7" s="25" t="n">
        <x:v>3</x:v>
      </x:c>
      <x:c r="L7" s="25" t="str">
        <x:v>Cocody Faya Génie 2000</x:v>
      </x:c>
      <x:c r="M7" s="25" t="str">
        <x:v>07 48 72 48 15</x:v>
      </x:c>
      <x:c r="N7" s="25" t="str">
        <x:v>snguessan@afwasa.org</x:v>
      </x:c>
      <x:c r="O7" s="25" t="str">
        <x:v>N’GUESSAN Luc Charlène</x:v>
      </x:c>
      <x:c r="P7" s="25" t="str">
        <x:v>07 07 06 47 09</x:v>
      </x:c>
      <x:c r="Q7" s="25" t="str">
        <x:v>Responsable Comptable &amp; Financier</x:v>
      </x:c>
      <x:c r="R7" s="25" t="str">
        <x:v>DAF</x:v>
      </x:c>
      <x:c r="S7" s="25" t="str">
        <x:v>Siège</x:v>
      </x:c>
      <x:c r="T7" s="25" t="str">
        <x:v>CDI</x:v>
      </x:c>
      <x:c r="U7" s="54" t="n">
        <x:v>41640</x:v>
      </x:c>
      <x:c r="V7" s="54" t="str">
        <x:v>N/A</x:v>
      </x:c>
      <x:c r="W7" s="25" t="n">
        <x:v>12</x:v>
      </x:c>
      <x:c r="X7" s="25" t="n">
        <x:v>289011438025</x:v>
      </x:c>
      <x:c r="Y7" s="25" t="str">
        <x:v>Actif</x:v>
      </x:c>
      <x:c r="Z7" s="25" t="str">
        <x:v>Direction Administrative et Financière</x:v>
      </x:c>
      <x:c r="AA7" s="25" t="n">
        <x:v>35</x:v>
      </x:c>
      <x:c r="AB7" s="25" t="str">
        <x:v>Non</x:v>
      </x:c>
    </x:row>
    <x:row r="8">
      <x:c r="A8" s="25" t="str">
        <x:v>0017F</x:v>
      </x:c>
      <x:c r="B8" s="25" t="str">
        <x:v>KENFACK</x:v>
      </x:c>
      <x:c r="C8" s="25" t="str">
        <x:v>Siméon</x:v>
      </x:c>
      <x:c r="D8" s="25" t="str">
        <x:v>Homme</x:v>
      </x:c>
      <x:c r="E8" s="54" t="n">
        <x:v>24171</x:v>
      </x:c>
      <x:c r="F8" s="25" t="n">
        <x:v>60</x:v>
      </x:c>
      <x:c r="G8" s="25" t="str">
        <x:v>Cameroun (Foto)</x:v>
      </x:c>
      <x:c r="H8" s="25" t="str">
        <x:v>CAMEROUNAISE</x:v>
      </x:c>
      <x:c r="I8" s="25" t="str">
        <x:v>AA070084</x:v>
      </x:c>
      <x:c r="J8" s="25" t="str">
        <x:v>Marié(e)</x:v>
      </x:c>
      <x:c r="K8" s="25" t="n">
        <x:v>5</x:v>
      </x:c>
      <x:c r="L8" s="25" t="str">
        <x:v>Riviera Palmeraie</x:v>
      </x:c>
      <x:c r="M8" s="25" t="str">
        <x:v>07 77 71 12 57</x:v>
      </x:c>
      <x:c r="N8" s="25" t="str">
        <x:v>skenfack@afwasa.org</x:v>
      </x:c>
      <x:c r="O8" s="25" t="str">
        <x:v>MAKOUGANG epse KENFACK</x:v>
      </x:c>
      <x:c r="P8" s="25" t="str">
        <x:v>77 82 78 99</x:v>
      </x:c>
      <x:c r="Q8" s="25" t="str">
        <x:v>Directeur Programmes et du Développement Professionnel</x:v>
      </x:c>
      <x:c r="R8" s="25" t="str">
        <x:v>DP</x:v>
      </x:c>
      <x:c r="S8" s="25" t="str">
        <x:v>Annexe</x:v>
      </x:c>
      <x:c r="T8" s="25" t="str">
        <x:v>CDI</x:v>
      </x:c>
      <x:c r="U8" s="54" t="n">
        <x:v>41518</x:v>
      </x:c>
      <x:c r="V8" s="54" t="str">
        <x:v>N/A</x:v>
      </x:c>
      <x:c r="W8" s="25" t="n">
        <x:v>12</x:v>
      </x:c>
      <x:c r="X8" s="25" t="n">
        <x:v>166101882858</x:v>
      </x:c>
      <x:c r="Y8" s="25" t="str">
        <x:v>Actif</x:v>
      </x:c>
      <x:c r="Z8" s="25" t="str">
        <x:v>Direction des Services aux Membres et des Programmes</x:v>
      </x:c>
      <x:c r="AA8" s="25" t="str"/>
      <x:c r="AB8" s="25" t="str">
        <x:v>Non</x:v>
      </x:c>
    </x:row>
    <x:row r="9">
      <x:c r="A9" s="25" t="str">
        <x:v>0020K</x:v>
      </x:c>
      <x:c r="B9" s="25" t="str">
        <x:v>KOUAKOU</x:v>
      </x:c>
      <x:c r="C9" s="25" t="str">
        <x:v>Kouadio Evrard Nicaise</x:v>
      </x:c>
      <x:c r="D9" s="25" t="str">
        <x:v>Homme</x:v>
      </x:c>
      <x:c r="E9" s="54" t="n">
        <x:v>30486</x:v>
      </x:c>
      <x:c r="F9" s="25" t="n">
        <x:v>43</x:v>
      </x:c>
      <x:c r="G9" s="25" t="str">
        <x:v>Divo</x:v>
      </x:c>
      <x:c r="H9" s="25" t="str">
        <x:v>IVOIRIENNE</x:v>
      </x:c>
      <x:c r="I9" s="25" t="str">
        <x:v>CI000259298</x:v>
      </x:c>
      <x:c r="J9" s="25" t="str">
        <x:v>Marié(e)</x:v>
      </x:c>
      <x:c r="K9" s="25" t="n">
        <x:v>4</x:v>
      </x:c>
      <x:c r="L9" s="25" t="str">
        <x:v>Cocody Angré</x:v>
      </x:c>
      <x:c r="M9" s="25" t="str">
        <x:v>07 48 38 45 36</x:v>
      </x:c>
      <x:c r="N9" s="25" t="str">
        <x:v>nkouakou@afwasa.org</x:v>
      </x:c>
      <x:c r="O9" s="25" t="str">
        <x:v>KOUAME Ahou Thérese</x:v>
      </x:c>
      <x:c r="P9" s="25" t="str">
        <x:v>07 07 19 53 72</x:v>
      </x:c>
      <x:c r="Q9" s="25" t="str">
        <x:v>Responsale des TIC</x:v>
      </x:c>
      <x:c r="R9" s="25" t="str">
        <x:v>DAF</x:v>
      </x:c>
      <x:c r="S9" s="25" t="str">
        <x:v>Annexe</x:v>
      </x:c>
      <x:c r="T9" s="25" t="str">
        <x:v>CDI</x:v>
      </x:c>
      <x:c r="U9" s="54" t="n">
        <x:v>41760</x:v>
      </x:c>
      <x:c r="V9" s="54" t="str">
        <x:v>N/A</x:v>
      </x:c>
      <x:c r="W9" s="25" t="n">
        <x:v>12</x:v>
      </x:c>
      <x:c r="X9" s="25" t="n">
        <x:v>183011500094</x:v>
      </x:c>
      <x:c r="Y9" s="25" t="str">
        <x:v>Actif</x:v>
      </x:c>
      <x:c r="Z9" s="25" t="str">
        <x:v>Direction Administrative et Financière</x:v>
      </x:c>
      <x:c r="AA9" s="25" t="n">
        <x:v>41</x:v>
      </x:c>
      <x:c r="AB9" s="25" t="str">
        <x:v>Non</x:v>
      </x:c>
    </x:row>
    <x:row r="10">
      <x:c r="A10" s="25" t="str">
        <x:v>0028M</x:v>
      </x:c>
      <x:c r="B10" s="25" t="str">
        <x:v>YAO</x:v>
      </x:c>
      <x:c r="C10" s="25" t="str">
        <x:v>Kouadio Valentin</x:v>
      </x:c>
      <x:c r="D10" s="25" t="str">
        <x:v>Homme</x:v>
      </x:c>
      <x:c r="E10" s="54" t="n">
        <x:v>28900</x:v>
      </x:c>
      <x:c r="F10" s="25" t="n">
        <x:v>47</x:v>
      </x:c>
      <x:c r="G10" s="25" t="str">
        <x:v>Grand Morié</x:v>
      </x:c>
      <x:c r="H10" s="25" t="str">
        <x:v>IVOIRIENNE</x:v>
      </x:c>
      <x:c r="I10" s="25" t="str">
        <x:v>CI000231192</x:v>
      </x:c>
      <x:c r="J10" s="25" t="str">
        <x:v>Marié(e)</x:v>
      </x:c>
      <x:c r="K10" s="25" t="n">
        <x:v>3</x:v>
      </x:c>
      <x:c r="L10" s="25" t="str">
        <x:v>Abobo plateau dokui</x:v>
      </x:c>
      <x:c r="M10" s="25" t="str">
        <x:v>07 07 60 74 20</x:v>
      </x:c>
      <x:c r="N10" s="25" t="str">
        <x:v>vyao@afwasa.org</x:v>
      </x:c>
      <x:c r="O10" s="25" t="str">
        <x:v>ANGODJI Josiane Perpetue</x:v>
      </x:c>
      <x:c r="P10" s="25" t="str">
        <x:v>07 0761 19 92</x:v>
      </x:c>
      <x:c r="Q10" s="25" t="str">
        <x:v>Coordonnateur Senior Programme Assainissement en charge de SAO-CWIS</x:v>
      </x:c>
      <x:c r="R10" s="25" t="str">
        <x:v>DP</x:v>
      </x:c>
      <x:c r="S10" s="25" t="str">
        <x:v>Annexe</x:v>
      </x:c>
      <x:c r="T10" s="25" t="str">
        <x:v>CDI</x:v>
      </x:c>
      <x:c r="U10" s="54" t="n">
        <x:v>42005</x:v>
      </x:c>
      <x:c r="V10" s="54" t="str">
        <x:v>N/A</x:v>
      </x:c>
      <x:c r="W10" s="25" t="n">
        <x:v>11</x:v>
      </x:c>
      <x:c r="X10" s="25" t="n">
        <x:v>179011055255</x:v>
      </x:c>
      <x:c r="Y10" s="25" t="str">
        <x:v>Actif</x:v>
      </x:c>
      <x:c r="Z10" s="25" t="str">
        <x:v>Direction des Services aux Membres et des Programmes</x:v>
      </x:c>
      <x:c r="AA10" s="25" t="n">
        <x:v>45</x:v>
      </x:c>
      <x:c r="AB10" s="25" t="str">
        <x:v>Non</x:v>
      </x:c>
    </x:row>
    <x:row r="11">
      <x:c r="A11" s="25" t="str">
        <x:v>0030E</x:v>
      </x:c>
      <x:c r="B11" s="25" t="str">
        <x:v>KONE</x:v>
      </x:c>
      <x:c r="C11" s="25" t="str">
        <x:v>Soumaïla</x:v>
      </x:c>
      <x:c r="D11" s="25" t="str">
        <x:v>Homme</x:v>
      </x:c>
      <x:c r="E11" s="54" t="n">
        <x:v>24139</x:v>
      </x:c>
      <x:c r="F11" s="25" t="n">
        <x:v>60</x:v>
      </x:c>
      <x:c r="G11" s="25" t="str">
        <x:v>Sirasso</x:v>
      </x:c>
      <x:c r="H11" s="25" t="str">
        <x:v>IVOIRIENNE</x:v>
      </x:c>
      <x:c r="I11" s="25" t="str"/>
      <x:c r="J11" s="25" t="str">
        <x:v>Marié(e)</x:v>
      </x:c>
      <x:c r="K11" s="25" t="n">
        <x:v>5</x:v>
      </x:c>
      <x:c r="L11" s="25" t="str">
        <x:v>Williamsville</x:v>
      </x:c>
      <x:c r="M11" s="25" t="str">
        <x:v>05 05 05 87 02</x:v>
      </x:c>
      <x:c r="N11" s="25" t="str">
        <x:v>N/A</x:v>
      </x:c>
      <x:c r="O11" s="25" t="str">
        <x:v>BAMBA Kady</x:v>
      </x:c>
      <x:c r="P11" s="25" t="str">
        <x:v>05 66 42 21 02</x:v>
      </x:c>
      <x:c r="Q11" s="25" t="str">
        <x:v>Chauffeur</x:v>
      </x:c>
      <x:c r="R11" s="25" t="str">
        <x:v>DEX</x:v>
      </x:c>
      <x:c r="S11" s="25" t="str">
        <x:v>Annexe</x:v>
      </x:c>
      <x:c r="T11" s="25" t="str">
        <x:v>CDI</x:v>
      </x:c>
      <x:c r="U11" s="54" t="n">
        <x:v>42064</x:v>
      </x:c>
      <x:c r="V11" s="54" t="str">
        <x:v>N/A</x:v>
      </x:c>
      <x:c r="W11" s="25" t="n">
        <x:v>11</x:v>
      </x:c>
      <x:c r="X11" s="25" t="n">
        <x:v>166011711861</x:v>
      </x:c>
      <x:c r="Y11" s="25" t="str">
        <x:v>Actif</x:v>
      </x:c>
      <x:c r="Z11" s="25" t="str">
        <x:v>Cabinet de la Direction Exécutive</x:v>
      </x:c>
      <x:c r="AA11" s="25" t="str"/>
      <x:c r="AB11" s="25" t="str">
        <x:v>Non</x:v>
      </x:c>
    </x:row>
    <x:row r="12">
      <x:c r="A12" s="25" t="str">
        <x:v>0032F</x:v>
      </x:c>
      <x:c r="B12" s="25" t="str">
        <x:v>TIHI SEA</x:v>
      </x:c>
      <x:c r="C12" s="25" t="str">
        <x:v>Drissehonnon Vanessa</x:v>
      </x:c>
      <x:c r="D12" s="25" t="str">
        <x:v>Femme</x:v>
      </x:c>
      <x:c r="E12" s="54" t="n">
        <x:v>32645</x:v>
      </x:c>
      <x:c r="F12" s="25" t="n">
        <x:v>37</x:v>
      </x:c>
      <x:c r="G12" s="25" t="str">
        <x:v>Yopougon</x:v>
      </x:c>
      <x:c r="H12" s="25" t="str">
        <x:v>IVOIRIENNE</x:v>
      </x:c>
      <x:c r="I12" s="25" t="str">
        <x:v>CI003489170</x:v>
      </x:c>
      <x:c r="J12" s="25" t="str">
        <x:v>Marié(e)</x:v>
      </x:c>
      <x:c r="K12" s="25" t="n">
        <x:v>1</x:v>
      </x:c>
      <x:c r="L12" s="25" t="str">
        <x:v>Riviera Palmeraie</x:v>
      </x:c>
      <x:c r="M12" s="25" t="str">
        <x:v>0709 83 81 75</x:v>
      </x:c>
      <x:c r="N12" s="25" t="str">
        <x:v>vtihi@afwasa.org</x:v>
      </x:c>
      <x:c r="O12" s="25" t="str">
        <x:v>TIHI Valerie</x:v>
      </x:c>
      <x:c r="P12" s="25" t="str">
        <x:v>05 05 37 30 35</x:v>
      </x:c>
      <x:c r="Q12" s="25" t="str">
        <x:v>Comptable Senior en Charge de la Trésorerie</x:v>
      </x:c>
      <x:c r="R12" s="25" t="str">
        <x:v>DAF</x:v>
      </x:c>
      <x:c r="S12" s="25" t="str">
        <x:v>Siège</x:v>
      </x:c>
      <x:c r="T12" s="25" t="str">
        <x:v>CDI</x:v>
      </x:c>
      <x:c r="U12" s="54" t="n">
        <x:v>42401</x:v>
      </x:c>
      <x:c r="V12" s="54" t="str">
        <x:v>N/A</x:v>
      </x:c>
      <x:c r="W12" s="25" t="n">
        <x:v>10</x:v>
      </x:c>
      <x:c r="X12" s="25" t="n">
        <x:v>289011732370</x:v>
      </x:c>
      <x:c r="Y12" s="25" t="str">
        <x:v>Actif</x:v>
      </x:c>
      <x:c r="Z12" s="25" t="str">
        <x:v>Direction Administrative et Financière</x:v>
      </x:c>
      <x:c r="AA12" s="25" t="n">
        <x:v>35</x:v>
      </x:c>
      <x:c r="AB12" s="25" t="str">
        <x:v>Non</x:v>
      </x:c>
    </x:row>
    <x:row r="13">
      <x:c r="A13" s="25" t="str">
        <x:v>0033M</x:v>
      </x:c>
      <x:c r="B13" s="25" t="str">
        <x:v>DJAGOUN</x:v>
      </x:c>
      <x:c r="C13" s="25" t="str">
        <x:v>Kolawolé Akindé Gilles</x:v>
      </x:c>
      <x:c r="D13" s="25" t="str">
        <x:v>Homme</x:v>
      </x:c>
      <x:c r="E13" s="54" t="n">
        <x:v>29860</x:v>
      </x:c>
      <x:c r="F13" s="25" t="n">
        <x:v>44</x:v>
      </x:c>
      <x:c r="G13" s="25" t="str">
        <x:v>Cotonou</x:v>
      </x:c>
      <x:c r="H13" s="25" t="str">
        <x:v>BENINOISE</x:v>
      </x:c>
      <x:c r="I13" s="25" t="str"/>
      <x:c r="J13" s="25" t="str">
        <x:v>Marié(e)</x:v>
      </x:c>
      <x:c r="K13" s="25" t="n">
        <x:v>2</x:v>
      </x:c>
      <x:c r="L13" s="25" t="str">
        <x:v>Cocody Abatta</x:v>
      </x:c>
      <x:c r="M13" s="25" t="str">
        <x:v>07 87 68 14 90</x:v>
      </x:c>
      <x:c r="N13" s="25" t="str">
        <x:v>gdjagoun@afwasa.org</x:v>
      </x:c>
      <x:c r="O13" s="25" t="str">
        <x:v>DJAGOUN Somde Ange Adeline</x:v>
      </x:c>
      <x:c r="P13" s="25" t="str">
        <x:v>07 87 68 64 29</x:v>
      </x:c>
      <x:c r="Q13" s="25" t="str">
        <x:v>Coordonnateur Senior Programme Eau en Charge d'Africap</x:v>
      </x:c>
      <x:c r="R13" s="25" t="str">
        <x:v>DP</x:v>
      </x:c>
      <x:c r="S13" s="25" t="str">
        <x:v>Annexe</x:v>
      </x:c>
      <x:c r="T13" s="25" t="str">
        <x:v>CDI</x:v>
      </x:c>
      <x:c r="U13" s="54" t="n">
        <x:v>46082</x:v>
      </x:c>
      <x:c r="V13" s="54" t="str">
        <x:v>N/A</x:v>
      </x:c>
      <x:c r="W13" s="25" t="n">
        <x:v>0</x:v>
      </x:c>
      <x:c r="X13" s="25" t="n">
        <x:v>181051882852</x:v>
      </x:c>
      <x:c r="Y13" s="25" t="str">
        <x:v>Licencié</x:v>
      </x:c>
      <x:c r="Z13" s="25" t="str">
        <x:v>Direction des Services aux Membres et des Programmes</x:v>
      </x:c>
      <x:c r="AA13" s="25" t="n">
        <x:v>43</x:v>
      </x:c>
      <x:c r="AB13" s="25" t="str">
        <x:v>Non</x:v>
      </x:c>
    </x:row>
    <x:row r="14">
      <x:c r="A14" s="25" t="str">
        <x:v>0038M</x:v>
      </x:c>
      <x:c r="B14" s="25" t="str">
        <x:v>GNANKPA</x:v>
      </x:c>
      <x:c r="C14" s="25" t="str">
        <x:v>Kouassi Olivier Marius</x:v>
      </x:c>
      <x:c r="D14" s="25" t="str">
        <x:v>Homme</x:v>
      </x:c>
      <x:c r="E14" s="54" t="n">
        <x:v>29695</x:v>
      </x:c>
      <x:c r="F14" s="25" t="n">
        <x:v>45</x:v>
      </x:c>
      <x:c r="G14" s="25" t="str">
        <x:v>Akoupé</x:v>
      </x:c>
      <x:c r="H14" s="25" t="str">
        <x:v>IVOIRIENNE</x:v>
      </x:c>
      <x:c r="I14" s="25" t="str">
        <x:v>CI001322964</x:v>
      </x:c>
      <x:c r="J14" s="25" t="str">
        <x:v>Marié(e)</x:v>
      </x:c>
      <x:c r="K14" s="25" t="n">
        <x:v>3</x:v>
      </x:c>
      <x:c r="L14" s="25" t="str">
        <x:v>Cocody Riviera ciad</x:v>
      </x:c>
      <x:c r="M14" s="25" t="str">
        <x:v>07 07 42 95 98</x:v>
      </x:c>
      <x:c r="N14" s="25" t="str">
        <x:v>ognankpa@afwasa.org</x:v>
      </x:c>
      <x:c r="O14" s="25" t="str">
        <x:v>ACHIE Kousso Claire Rose</x:v>
      </x:c>
      <x:c r="P14" s="25" t="str">
        <x:v>07 07 86 85 30</x:v>
      </x:c>
      <x:c r="Q14" s="25" t="str">
        <x:v>Directeur Administratif &amp; Financier</x:v>
      </x:c>
      <x:c r="R14" s="25" t="str">
        <x:v>DAF</x:v>
      </x:c>
      <x:c r="S14" s="25" t="str">
        <x:v>Siège</x:v>
      </x:c>
      <x:c r="T14" s="25" t="str">
        <x:v>CDI</x:v>
      </x:c>
      <x:c r="U14" s="54" t="n">
        <x:v>42430</x:v>
      </x:c>
      <x:c r="V14" s="54" t="str">
        <x:v>N/A</x:v>
      </x:c>
      <x:c r="W14" s="25" t="n">
        <x:v>10</x:v>
      </x:c>
      <x:c r="X14" s="25" t="n">
        <x:v>181010623871</x:v>
      </x:c>
      <x:c r="Y14" s="25" t="str">
        <x:v>Actif</x:v>
      </x:c>
      <x:c r="Z14" s="25" t="str">
        <x:v>Direction Administrative et Financière</x:v>
      </x:c>
      <x:c r="AA14" s="25" t="n">
        <x:v>43</x:v>
      </x:c>
      <x:c r="AB14" s="25" t="str">
        <x:v>Non</x:v>
      </x:c>
    </x:row>
    <x:row r="15">
      <x:c r="A15" s="25" t="str">
        <x:v>0040N</x:v>
      </x:c>
      <x:c r="B15" s="25" t="str">
        <x:v>GOHOU NZICKONAN</x:v>
      </x:c>
      <x:c r="C15" s="25" t="str">
        <x:v>Gisèle Stéphanie</x:v>
      </x:c>
      <x:c r="D15" s="25" t="str">
        <x:v>Femme</x:v>
      </x:c>
      <x:c r="E15" s="54" t="n">
        <x:v>27509</x:v>
      </x:c>
      <x:c r="F15" s="25" t="n">
        <x:v>51</x:v>
      </x:c>
      <x:c r="G15" s="25" t="str">
        <x:v>Bingerville</x:v>
      </x:c>
      <x:c r="H15" s="25" t="str">
        <x:v>IVOIRIENNE</x:v>
      </x:c>
      <x:c r="I15" s="25" t="str">
        <x:v>CI000161237</x:v>
      </x:c>
      <x:c r="J15" s="25" t="str">
        <x:v>Marié(e)</x:v>
      </x:c>
      <x:c r="K15" s="25" t="n">
        <x:v>2</x:v>
      </x:c>
      <x:c r="L15" s="25" t="str">
        <x:v>Bingerville</x:v>
      </x:c>
      <x:c r="M15" s="25" t="str">
        <x:v>07 09 75 97 72</x:v>
      </x:c>
      <x:c r="N15" s="25" t="str">
        <x:v>snzickonan@afwasa.org</x:v>
      </x:c>
      <x:c r="O15" s="25" t="str">
        <x:v>N’ZICKONAN Claude</x:v>
      </x:c>
      <x:c r="P15" s="25" t="str">
        <x:v>07 09 73 38 08</x:v>
      </x:c>
      <x:c r="Q15" s="25" t="str">
        <x:v>Responsable Communication</x:v>
      </x:c>
      <x:c r="R15" s="25" t="str">
        <x:v>Cabinet DEX</x:v>
      </x:c>
      <x:c r="S15" s="25" t="str">
        <x:v>Annexe</x:v>
      </x:c>
      <x:c r="T15" s="25" t="str">
        <x:v>CDI</x:v>
      </x:c>
      <x:c r="U15" s="54" t="n">
        <x:v>42795</x:v>
      </x:c>
      <x:c r="V15" s="54" t="str">
        <x:v>N/A</x:v>
      </x:c>
      <x:c r="W15" s="25" t="n">
        <x:v>9</x:v>
      </x:c>
      <x:c r="X15" s="25" t="n">
        <x:v>275010704625</x:v>
      </x:c>
      <x:c r="Y15" s="25" t="str">
        <x:v>Actif</x:v>
      </x:c>
      <x:c r="Z15" s="25" t="str">
        <x:v>Cabinet de la Direction Exécutive</x:v>
      </x:c>
      <x:c r="AA15" s="25" t="n">
        <x:v>49</x:v>
      </x:c>
      <x:c r="AB15" s="25" t="str">
        <x:v>Non</x:v>
      </x:c>
    </x:row>
    <x:row r="16">
      <x:c r="A16" s="25" t="str">
        <x:v>0045A</x:v>
      </x:c>
      <x:c r="B16" s="25" t="str">
        <x:v>YAO</x:v>
      </x:c>
      <x:c r="C16" s="25" t="str">
        <x:v>Kan Amos</x:v>
      </x:c>
      <x:c r="D16" s="25" t="str">
        <x:v>Homme</x:v>
      </x:c>
      <x:c r="E16" s="54" t="n">
        <x:v>28825</x:v>
      </x:c>
      <x:c r="F16" s="25" t="n">
        <x:v>47</x:v>
      </x:c>
      <x:c r="G16" s="25" t="str">
        <x:v>Bouaké</x:v>
      </x:c>
      <x:c r="H16" s="25" t="str">
        <x:v>IVOIRIENNE</x:v>
      </x:c>
      <x:c r="I16" s="25" t="str">
        <x:v>CI001538738</x:v>
      </x:c>
      <x:c r="J16" s="25" t="str">
        <x:v>Marié(e)</x:v>
      </x:c>
      <x:c r="K16" s="25" t="n">
        <x:v>1</x:v>
      </x:c>
      <x:c r="L16" s="25" t="str">
        <x:v>Cocody Faya</x:v>
      </x:c>
      <x:c r="M16" s="25" t="str">
        <x:v>07 47 50 80 77</x:v>
      </x:c>
      <x:c r="N16" s="25" t="str">
        <x:v>ayao@afwasa.org</x:v>
      </x:c>
      <x:c r="O16" s="25" t="str">
        <x:v>Tindé Tendé</x:v>
      </x:c>
      <x:c r="P16" s="25" t="str">
        <x:v>07 07 44 97 14</x:v>
      </x:c>
      <x:c r="Q16" s="25" t="str">
        <x:v>Chargé des Achats</x:v>
      </x:c>
      <x:c r="R16" s="25" t="str">
        <x:v>DAF</x:v>
      </x:c>
      <x:c r="S16" s="25" t="str">
        <x:v>Siège</x:v>
      </x:c>
      <x:c r="T16" s="25" t="str">
        <x:v>CDI</x:v>
      </x:c>
      <x:c r="U16" s="54" t="n">
        <x:v>43222</x:v>
      </x:c>
      <x:c r="V16" s="54" t="str">
        <x:v>N/A</x:v>
      </x:c>
      <x:c r="W16" s="25" t="n">
        <x:v>8</x:v>
      </x:c>
      <x:c r="X16" s="25" t="n">
        <x:v>178011202993</x:v>
      </x:c>
      <x:c r="Y16" s="25" t="str">
        <x:v>Actif</x:v>
      </x:c>
      <x:c r="Z16" s="25" t="str">
        <x:v>Direction Administrative et Financière</x:v>
      </x:c>
      <x:c r="AA16" s="25" t="n">
        <x:v>46</x:v>
      </x:c>
      <x:c r="AB16" s="25" t="str">
        <x:v>Non</x:v>
      </x:c>
    </x:row>
    <x:row r="17">
      <x:c r="A17" s="25" t="str">
        <x:v>0046J</x:v>
      </x:c>
      <x:c r="B17" s="25" t="str">
        <x:v>KOUADIO</x:v>
      </x:c>
      <x:c r="C17" s="25" t="str">
        <x:v>Konan Emmanuel</x:v>
      </x:c>
      <x:c r="D17" s="25" t="str">
        <x:v>Homme</x:v>
      </x:c>
      <x:c r="E17" s="54" t="n">
        <x:v>27760</x:v>
      </x:c>
      <x:c r="F17" s="25" t="n">
        <x:v>50</x:v>
      </x:c>
      <x:c r="G17" s="25" t="str">
        <x:v>Issia</x:v>
      </x:c>
      <x:c r="H17" s="25" t="str">
        <x:v>IVOIRIENNE</x:v>
      </x:c>
      <x:c r="I17" s="25" t="str">
        <x:v>C0026704669</x:v>
      </x:c>
      <x:c r="J17" s="25" t="str">
        <x:v>Marié(e)</x:v>
      </x:c>
      <x:c r="K17" s="25" t="n">
        <x:v>3</x:v>
      </x:c>
      <x:c r="L17" s="25" t="str">
        <x:v>Songon</x:v>
      </x:c>
      <x:c r="M17" s="25" t="str">
        <x:v>07 08 91 45 97</x:v>
      </x:c>
      <x:c r="N17" s="25" t="str">
        <x:v>ekouadio@afwasa.org</x:v>
      </x:c>
      <x:c r="O17" s="25" t="str">
        <x:v>LIZO Valérie</x:v>
      </x:c>
      <x:c r="P17" s="25" t="str">
        <x:v>07 47 36 63 61</x:v>
      </x:c>
      <x:c r="Q17" s="25" t="str">
        <x:v>Responsable des Ressources Humaines</x:v>
      </x:c>
      <x:c r="R17" s="25" t="str">
        <x:v>DAF</x:v>
      </x:c>
      <x:c r="S17" s="25" t="str">
        <x:v>Siège</x:v>
      </x:c>
      <x:c r="T17" s="25" t="str">
        <x:v>CDI</x:v>
      </x:c>
      <x:c r="U17" s="54" t="n">
        <x:v>43662</x:v>
      </x:c>
      <x:c r="V17" s="54" t="str">
        <x:v>N/A</x:v>
      </x:c>
      <x:c r="W17" s="25" t="n">
        <x:v>6</x:v>
      </x:c>
      <x:c r="X17" s="25" t="n">
        <x:v>176011131367</x:v>
      </x:c>
      <x:c r="Y17" s="25" t="str">
        <x:v>Actif</x:v>
      </x:c>
      <x:c r="Z17" s="25" t="str">
        <x:v>Direction Administrative et Financière</x:v>
      </x:c>
      <x:c r="AA17" s="25" t="n">
        <x:v>49</x:v>
      </x:c>
      <x:c r="AB17" s="25" t="str">
        <x:v>Non</x:v>
      </x:c>
    </x:row>
    <x:row r="18">
      <x:c r="A18" s="25" t="str">
        <x:v>0062J</x:v>
      </x:c>
      <x:c r="B18" s="25" t="str">
        <x:v>ACKUN</x:v>
      </x:c>
      <x:c r="C18" s="25" t="str">
        <x:v>AGYEIWAA Leticia</x:v>
      </x:c>
      <x:c r="D18" s="25" t="str">
        <x:v>Femme</x:v>
      </x:c>
      <x:c r="E18" s="54" t="n">
        <x:v>25381</x:v>
      </x:c>
      <x:c r="F18" s="25" t="n">
        <x:v>57</x:v>
      </x:c>
      <x:c r="G18" s="25" t="str">
        <x:v>Ghana</x:v>
      </x:c>
      <x:c r="H18" s="25" t="str">
        <x:v>GHANEENE</x:v>
      </x:c>
      <x:c r="I18" s="25" t="str">
        <x:v>A0157996</x:v>
      </x:c>
      <x:c r="J18" s="25" t="str">
        <x:v>Marié(e)</x:v>
      </x:c>
      <x:c r="K18" s="25" t="n">
        <x:v>4</x:v>
      </x:c>
      <x:c r="L18" s="25" t="str">
        <x:v>Angré Gestoci</x:v>
      </x:c>
      <x:c r="M18" s="25" t="str">
        <x:v>0767719577</x:v>
      </x:c>
      <x:c r="N18" s="25" t="str">
        <x:v>lackun@afwasa.org</x:v>
      </x:c>
      <x:c r="O18" s="25" t="str">
        <x:v>Robert Baiden</x:v>
      </x:c>
      <x:c r="P18" s="25" t="str">
        <x:v>07 77 30 738</x:v>
      </x:c>
      <x:c r="Q18" s="25" t="str">
        <x:v>Spécialiste en Genre Chargée de Développement des Membres</x:v>
      </x:c>
      <x:c r="R18" s="25" t="str">
        <x:v>DMS</x:v>
      </x:c>
      <x:c r="S18" s="25" t="str">
        <x:v>Annexe</x:v>
      </x:c>
      <x:c r="T18" s="25" t="str">
        <x:v>CDI</x:v>
      </x:c>
      <x:c r="U18" s="54" t="n">
        <x:v>44211</x:v>
      </x:c>
      <x:c r="V18" s="54" t="str">
        <x:v>N/A</x:v>
      </x:c>
      <x:c r="W18" s="25" t="n">
        <x:v>3</x:v>
      </x:c>
      <x:c r="X18" s="25" t="n">
        <x:v>202100064064</x:v>
      </x:c>
      <x:c r="Y18" s="25" t="str">
        <x:v>Actif</x:v>
      </x:c>
      <x:c r="Z18" s="25" t="str">
        <x:v>Direction des Services aux Membres et des Programmes</x:v>
      </x:c>
      <x:c r="AA18" s="25" t="n">
        <x:v>55</x:v>
      </x:c>
      <x:c r="AB18" s="25" t="str">
        <x:v>Non</x:v>
      </x:c>
    </x:row>
    <x:row r="19">
      <x:c r="A19" s="25" t="str">
        <x:v>0073D</x:v>
      </x:c>
      <x:c r="B19" s="25" t="str">
        <x:v>COULIBALY BA</x:v>
      </x:c>
      <x:c r="C19" s="25" t="str">
        <x:v>Mariame</x:v>
      </x:c>
      <x:c r="D19" s="25" t="str">
        <x:v>Femme</x:v>
      </x:c>
      <x:c r="E19" s="54" t="n">
        <x:v>28328</x:v>
      </x:c>
      <x:c r="F19" s="25" t="n">
        <x:v>48</x:v>
      </x:c>
      <x:c r="G19" s="25" t="str">
        <x:v>Abobo</x:v>
      </x:c>
      <x:c r="H19" s="25" t="str">
        <x:v>IVOIRIENNE</x:v>
      </x:c>
      <x:c r="I19" s="25" t="str">
        <x:v>CI001043352</x:v>
      </x:c>
      <x:c r="J19" s="25" t="str">
        <x:v>Marié(e)</x:v>
      </x:c>
      <x:c r="K19" s="25" t="n">
        <x:v>1</x:v>
      </x:c>
      <x:c r="L19" s="25" t="str">
        <x:v>Bingerville</x:v>
      </x:c>
      <x:c r="M19" s="25" t="str">
        <x:v>07 09 14 94 01</x:v>
      </x:c>
      <x:c r="N19" s="25" t="str">
        <x:v>mba@afwasa.org</x:v>
      </x:c>
      <x:c r="O19" s="25" t="str">
        <x:v>Ba Cheick</x:v>
      </x:c>
      <x:c r="P19" s="25" t="str">
        <x:v>07 07 82 78 98</x:v>
      </x:c>
      <x:c r="Q19" s="25" t="str">
        <x:v>Assistante du Directeur Executif</x:v>
      </x:c>
      <x:c r="R19" s="25" t="str">
        <x:v>Cabinet DEX</x:v>
      </x:c>
      <x:c r="S19" s="25" t="str">
        <x:v>Siège</x:v>
      </x:c>
      <x:c r="T19" s="25" t="str">
        <x:v>CDI</x:v>
      </x:c>
      <x:c r="U19" s="54" t="n">
        <x:v>44536</x:v>
      </x:c>
      <x:c r="V19" s="54" t="str">
        <x:v>N/A</x:v>
      </x:c>
      <x:c r="W19" s="25" t="n">
        <x:v>4</x:v>
      </x:c>
      <x:c r="X19" s="25" t="n">
        <x:v>277010418099</x:v>
      </x:c>
      <x:c r="Y19" s="25" t="str">
        <x:v>Actif</x:v>
      </x:c>
      <x:c r="Z19" s="25" t="str">
        <x:v>Cabinet de la Direction Exécutive</x:v>
      </x:c>
      <x:c r="AA19" s="25" t="n">
        <x:v>47</x:v>
      </x:c>
      <x:c r="AB19" s="25" t="str">
        <x:v>Non</x:v>
      </x:c>
    </x:row>
    <x:row r="20">
      <x:c r="A20" s="25" t="str">
        <x:v>0074J</x:v>
      </x:c>
      <x:c r="B20" s="25" t="str">
        <x:v>DIEZAHI</x:v>
      </x:c>
      <x:c r="C20" s="25" t="str">
        <x:v>Dominique</x:v>
      </x:c>
      <x:c r="D20" s="25" t="str">
        <x:v>Homme</x:v>
      </x:c>
      <x:c r="E20" s="54" t="n">
        <x:v>26657</x:v>
      </x:c>
      <x:c r="F20" s="25" t="n">
        <x:v>53</x:v>
      </x:c>
      <x:c r="G20" s="25" t="str">
        <x:v>BLEOUE 2 ( Kouibly)</x:v>
      </x:c>
      <x:c r="H20" s="25" t="str">
        <x:v>IVOIRIENNE</x:v>
      </x:c>
      <x:c r="I20" s="25" t="str">
        <x:v>CI002209553</x:v>
      </x:c>
      <x:c r="J20" s="25" t="str">
        <x:v>Marié(e)</x:v>
      </x:c>
      <x:c r="K20" s="25" t="n">
        <x:v>4</x:v>
      </x:c>
      <x:c r="L20" s="25" t="str">
        <x:v>Yopougon</x:v>
      </x:c>
      <x:c r="M20" s="25" t="str">
        <x:v>0748270504</x:v>
      </x:c>
      <x:c r="N20" s="25" t="str">
        <x:v>N/A</x:v>
      </x:c>
      <x:c r="O20" s="25" t="str">
        <x:v>Zaomon Barthelemy</x:v>
      </x:c>
      <x:c r="P20" s="25" t="str">
        <x:v>01 43 72 51 43</x:v>
      </x:c>
      <x:c r="Q20" s="25" t="str">
        <x:v>Chauffeur Coursier</x:v>
      </x:c>
      <x:c r="R20" s="25" t="str">
        <x:v>DAF</x:v>
      </x:c>
      <x:c r="S20" s="25" t="str">
        <x:v>Siège</x:v>
      </x:c>
      <x:c r="T20" s="25" t="str">
        <x:v>CDI</x:v>
      </x:c>
      <x:c r="U20" s="54" t="n">
        <x:v>44562</x:v>
      </x:c>
      <x:c r="V20" s="54" t="str">
        <x:v>N/A</x:v>
      </x:c>
      <x:c r="W20" s="25" t="n">
        <x:v>4</x:v>
      </x:c>
      <x:c r="X20" s="25" t="n">
        <x:v>172010138894</x:v>
      </x:c>
      <x:c r="Y20" s="25" t="str">
        <x:v>Actif</x:v>
      </x:c>
      <x:c r="Z20" s="25" t="str">
        <x:v>Direction Administrative et Financière</x:v>
      </x:c>
      <x:c r="AA20" s="25" t="n">
        <x:v>52</x:v>
      </x:c>
      <x:c r="AB20" s="25" t="str">
        <x:v>Non</x:v>
      </x:c>
    </x:row>
    <x:row r="21">
      <x:c r="A21" s="25" t="str">
        <x:v>0075J</x:v>
      </x:c>
      <x:c r="B21" s="25" t="str">
        <x:v>MABIO</x:v>
      </x:c>
      <x:c r="C21" s="25" t="str">
        <x:v>Olivier Franck De Sales</x:v>
      </x:c>
      <x:c r="D21" s="25" t="str">
        <x:v>Homme</x:v>
      </x:c>
      <x:c r="E21" s="54" t="n">
        <x:v>35236</x:v>
      </x:c>
      <x:c r="F21" s="25" t="n">
        <x:v>30</x:v>
      </x:c>
      <x:c r="G21" s="25" t="str">
        <x:v>Treichville</x:v>
      </x:c>
      <x:c r="H21" s="25" t="str">
        <x:v>IVOIRIENNE</x:v>
      </x:c>
      <x:c r="I21" s="25" t="str">
        <x:v>C0112916565</x:v>
      </x:c>
      <x:c r="J21" s="25" t="str">
        <x:v>Célibataire</x:v>
      </x:c>
      <x:c r="K21" s="25" t="n">
        <x:v>1</x:v>
      </x:c>
      <x:c r="L21" s="25" t="str">
        <x:v>Marcory</x:v>
      </x:c>
      <x:c r="M21" s="25" t="str">
        <x:v>07 79 38 13 97</x:v>
      </x:c>
      <x:c r="N21" s="25" t="str">
        <x:v>fmabio@afwasa.org</x:v>
      </x:c>
      <x:c r="O21" s="25" t="str">
        <x:v>Kouassi N’Doua Augustine</x:v>
      </x:c>
      <x:c r="P21" s="25" t="str">
        <x:v>07 07 79 99 31</x:v>
      </x:c>
      <x:c r="Q21" s="25" t="str">
        <x:v>Assistant Comptabilité Générale</x:v>
      </x:c>
      <x:c r="R21" s="25" t="str">
        <x:v>DAF</x:v>
      </x:c>
      <x:c r="S21" s="25" t="str">
        <x:v>Siège</x:v>
      </x:c>
      <x:c r="T21" s="25" t="str">
        <x:v>CDI</x:v>
      </x:c>
      <x:c r="U21" s="54" t="n">
        <x:v>44562</x:v>
      </x:c>
      <x:c r="V21" s="54" t="str">
        <x:v>N/A</x:v>
      </x:c>
      <x:c r="W21" s="25" t="n">
        <x:v>4</x:v>
      </x:c>
      <x:c r="X21" s="25" t="n">
        <x:v>202200051913</x:v>
      </x:c>
      <x:c r="Y21" s="25" t="str">
        <x:v>Actif</x:v>
      </x:c>
      <x:c r="Z21" s="25" t="str">
        <x:v>Direction Administrative et Financière</x:v>
      </x:c>
      <x:c r="AA21" s="25" t="n">
        <x:v>28</x:v>
      </x:c>
      <x:c r="AB21" s="25" t="str">
        <x:v>Non</x:v>
      </x:c>
    </x:row>
    <x:row r="22">
      <x:c r="A22" s="25" t="str">
        <x:v>0076J</x:v>
      </x:c>
      <x:c r="B22" s="25" t="str">
        <x:v>GUEU</x:v>
      </x:c>
      <x:c r="C22" s="25" t="str">
        <x:v>Aman Edwige</x:v>
      </x:c>
      <x:c r="D22" s="25" t="str">
        <x:v>Femme</x:v>
      </x:c>
      <x:c r="E22" s="54" t="n">
        <x:v>35992</x:v>
      </x:c>
      <x:c r="F22" s="25" t="n">
        <x:v>27</x:v>
      </x:c>
      <x:c r="G22" s="25" t="str">
        <x:v>Gouimpleu (Man)</x:v>
      </x:c>
      <x:c r="H22" s="25" t="str">
        <x:v>IVOIRIENNE</x:v>
      </x:c>
      <x:c r="I22" s="25" t="str">
        <x:v>C0116380414</x:v>
      </x:c>
      <x:c r="J22" s="25" t="str">
        <x:v>Célibataire</x:v>
      </x:c>
      <x:c r="K22" s="25" t="n">
        <x:v>1</x:v>
      </x:c>
      <x:c r="L22" s="25" t="str">
        <x:v>Bingerville</x:v>
      </x:c>
      <x:c r="M22" s="25" t="str">
        <x:v>07 49 15 86 19</x:v>
      </x:c>
      <x:c r="N22" s="25" t="str">
        <x:v>egueu@afwasa.org</x:v>
      </x:c>
      <x:c r="O22" s="25" t="str">
        <x:v>Gueu Anatole</x:v>
      </x:c>
      <x:c r="P22" s="25" t="str">
        <x:v>05 05 75 13 97</x:v>
      </x:c>
      <x:c r="Q22" s="25" t="str">
        <x:v>Assistante Comptabilité-Trésorerie</x:v>
      </x:c>
      <x:c r="R22" s="25" t="str">
        <x:v>DAF</x:v>
      </x:c>
      <x:c r="S22" s="25" t="str">
        <x:v>Siège</x:v>
      </x:c>
      <x:c r="T22" s="25" t="str">
        <x:v>CDI</x:v>
      </x:c>
      <x:c r="U22" s="54" t="n">
        <x:v>44562</x:v>
      </x:c>
      <x:c r="V22" s="54" t="str">
        <x:v>N/A</x:v>
      </x:c>
      <x:c r="W22" s="25" t="n">
        <x:v>4</x:v>
      </x:c>
      <x:c r="X22" s="25" t="n">
        <x:v>202200053099</x:v>
      </x:c>
      <x:c r="Y22" s="25" t="str">
        <x:v>Actif</x:v>
      </x:c>
      <x:c r="Z22" s="25" t="str">
        <x:v>Direction Administrative et Financière</x:v>
      </x:c>
      <x:c r="AA22" s="25" t="n">
        <x:v>26</x:v>
      </x:c>
      <x:c r="AB22" s="25" t="str">
        <x:v>Non</x:v>
      </x:c>
    </x:row>
    <x:row r="23">
      <x:c r="A23" s="25" t="str">
        <x:v>0078M</x:v>
      </x:c>
      <x:c r="B23" s="25" t="str">
        <x:v>UMUTANGAMPUNDU</x:v>
      </x:c>
      <x:c r="C23" s="25" t="str">
        <x:v>Djalia</x:v>
      </x:c>
      <x:c r="D23" s="25" t="str">
        <x:v>Femme</x:v>
      </x:c>
      <x:c r="E23" s="54" t="n">
        <x:v>34405</x:v>
      </x:c>
      <x:c r="F23" s="25" t="n">
        <x:v>32</x:v>
      </x:c>
      <x:c r="G23" s="25" t="str">
        <x:v>Rwanda</x:v>
      </x:c>
      <x:c r="H23" s="25" t="str">
        <x:v>RWANDAISE</x:v>
      </x:c>
      <x:c r="I23" s="25" t="str">
        <x:v>PC644709</x:v>
      </x:c>
      <x:c r="J23" s="25" t="str">
        <x:v>Célibataire</x:v>
      </x:c>
      <x:c r="K23" s="25" t="n">
        <x:v>0</x:v>
      </x:c>
      <x:c r="L23" s="25" t="str">
        <x:v>Riviera 3</x:v>
      </x:c>
      <x:c r="M23" s="25" t="str">
        <x:v>07 04 73 20 12</x:v>
      </x:c>
      <x:c r="N23" s="25" t="str">
        <x:v>udjalia@afwasa.org</x:v>
      </x:c>
      <x:c r="O23" s="25" t="str">
        <x:v>Condo Nadia</x:v>
      </x:c>
      <x:c r="P23" s="25" t="str">
        <x:v>07 67 34 46 34</x:v>
      </x:c>
      <x:c r="Q23" s="25" t="str">
        <x:v>Chargé Technique des Programmes</x:v>
      </x:c>
      <x:c r="R23" s="25" t="str">
        <x:v>DP</x:v>
      </x:c>
      <x:c r="S23" s="25" t="str">
        <x:v>Annexe</x:v>
      </x:c>
      <x:c r="T23" s="25" t="str">
        <x:v>CDI</x:v>
      </x:c>
      <x:c r="U23" s="54" t="n">
        <x:v>44622</x:v>
      </x:c>
      <x:c r="V23" s="54" t="str">
        <x:v>N/A</x:v>
      </x:c>
      <x:c r="W23" s="25" t="n">
        <x:v>4</x:v>
      </x:c>
      <x:c r="X23" s="25" t="n">
        <x:v>202200057023</x:v>
      </x:c>
      <x:c r="Y23" s="25" t="str">
        <x:v>Actif</x:v>
      </x:c>
      <x:c r="Z23" s="25" t="str">
        <x:v>Direction des Services aux Membres et des Programmes</x:v>
      </x:c>
      <x:c r="AA23" s="25" t="n">
        <x:v>30</x:v>
      </x:c>
      <x:c r="AB23" s="25" t="str">
        <x:v>Non</x:v>
      </x:c>
    </x:row>
    <x:row r="24">
      <x:c r="A24" s="25" t="str">
        <x:v>0079M</x:v>
      </x:c>
      <x:c r="B24" s="25" t="str">
        <x:v>GOULI</x:v>
      </x:c>
      <x:c r="C24" s="25" t="str">
        <x:v>Tanh Judicaël</x:v>
      </x:c>
      <x:c r="D24" s="25" t="str">
        <x:v>Homme</x:v>
      </x:c>
      <x:c r="E24" s="54" t="n">
        <x:v>33574</x:v>
      </x:c>
      <x:c r="F24" s="25" t="n">
        <x:v>34</x:v>
      </x:c>
      <x:c r="G24" s="25" t="str">
        <x:v>Dahioke ( Tabou)</x:v>
      </x:c>
      <x:c r="H24" s="25" t="str">
        <x:v>IVOIRIENNE</x:v>
      </x:c>
      <x:c r="I24" s="25" t="str">
        <x:v>CI007515311</x:v>
      </x:c>
      <x:c r="J24" s="25" t="str">
        <x:v>Célibataire</x:v>
      </x:c>
      <x:c r="K24" s="25" t="n">
        <x:v>2</x:v>
      </x:c>
      <x:c r="L24" s="25" t="str">
        <x:v>Yopougon Gesco</x:v>
      </x:c>
      <x:c r="M24" s="25" t="str">
        <x:v>07 57 45 65 21</x:v>
      </x:c>
      <x:c r="N24" s="25" t="str">
        <x:v>jgouli@afwasa.org</x:v>
      </x:c>
      <x:c r="O24" s="25" t="str">
        <x:v>Gouli Anatole</x:v>
      </x:c>
      <x:c r="P24" s="25" t="str">
        <x:v>01 40 36 83 33</x:v>
      </x:c>
      <x:c r="Q24" s="25" t="str">
        <x:v>Assistant TIC</x:v>
      </x:c>
      <x:c r="R24" s="25" t="str">
        <x:v>DAF</x:v>
      </x:c>
      <x:c r="S24" s="25" t="str">
        <x:v>Annexe</x:v>
      </x:c>
      <x:c r="T24" s="25" t="str">
        <x:v>CDI</x:v>
      </x:c>
      <x:c r="U24" s="54" t="n">
        <x:v>44628</x:v>
      </x:c>
      <x:c r="V24" s="54" t="str">
        <x:v>N/A</x:v>
      </x:c>
      <x:c r="W24" s="25" t="n">
        <x:v>4</x:v>
      </x:c>
      <x:c r="X24" s="25" t="n">
        <x:v>191011778898</x:v>
      </x:c>
      <x:c r="Y24" s="25" t="str">
        <x:v>Actif</x:v>
      </x:c>
      <x:c r="Z24" s="25" t="str">
        <x:v>Direction Administrative et Financière</x:v>
      </x:c>
      <x:c r="AA24" s="25" t="n">
        <x:v>33</x:v>
      </x:c>
      <x:c r="AB24" s="25" t="str">
        <x:v>Non</x:v>
      </x:c>
    </x:row>
    <x:row r="25">
      <x:c r="A25" s="25" t="str">
        <x:v>0081A</x:v>
      </x:c>
      <x:c r="B25" s="25" t="str">
        <x:v>SECK</x:v>
      </x:c>
      <x:c r="C25" s="25" t="str">
        <x:v>Moussa</x:v>
      </x:c>
      <x:c r="D25" s="25" t="str">
        <x:v>Homme</x:v>
      </x:c>
      <x:c r="E25" s="54" t="n">
        <x:v>25518</x:v>
      </x:c>
      <x:c r="F25" s="25" t="n">
        <x:v>56</x:v>
      </x:c>
      <x:c r="G25" s="25" t="str">
        <x:v>Poponguine (Dakar)</x:v>
      </x:c>
      <x:c r="H25" s="25" t="str">
        <x:v>SENEGALAISE</x:v>
      </x:c>
      <x:c r="I25" s="25" t="str">
        <x:v>A03631729</x:v>
      </x:c>
      <x:c r="J25" s="25" t="str">
        <x:v>Marié(e)</x:v>
      </x:c>
      <x:c r="K25" s="25" t="n">
        <x:v>0</x:v>
      </x:c>
      <x:c r="L25" s="25" t="str">
        <x:v>Riviera</x:v>
      </x:c>
      <x:c r="M25" s="25" t="str"/>
      <x:c r="N25" s="25" t="str">
        <x:v>mseck@afwasa.org</x:v>
      </x:c>
      <x:c r="O25" s="25" t="str"/>
      <x:c r="P25" s="25" t="str"/>
      <x:c r="Q25" s="25" t="str">
        <x:v>Directeur des Services aux Membres</x:v>
      </x:c>
      <x:c r="R25" s="25" t="str">
        <x:v>DMS</x:v>
      </x:c>
      <x:c r="S25" s="25" t="str">
        <x:v>Annexe</x:v>
      </x:c>
      <x:c r="T25" s="25" t="str">
        <x:v>CDI</x:v>
      </x:c>
      <x:c r="U25" s="54" t="n">
        <x:v>44774</x:v>
      </x:c>
      <x:c r="V25" s="54" t="str">
        <x:v>N/A</x:v>
      </x:c>
      <x:c r="W25" s="25" t="n">
        <x:v>3</x:v>
      </x:c>
      <x:c r="X25" s="25" t="n">
        <x:v>202200074906</x:v>
      </x:c>
      <x:c r="Y25" s="25" t="str">
        <x:v>Actif</x:v>
      </x:c>
      <x:c r="Z25" s="25" t="str">
        <x:v>Direction des Services aux Membres et des Programmes</x:v>
      </x:c>
      <x:c r="AA25" s="25" t="n">
        <x:v>55</x:v>
      </x:c>
      <x:c r="AB25" s="25" t="str">
        <x:v>Non</x:v>
      </x:c>
    </x:row>
    <x:row r="26">
      <x:c r="A26" s="25" t="str">
        <x:v>0000Z</x:v>
      </x:c>
      <x:c r="B26" s="25" t="str">
        <x:v>KANGA</x:v>
      </x:c>
      <x:c r="C26" s="25" t="str">
        <x:v>Kouamé Alexandre</x:v>
      </x:c>
      <x:c r="D26" s="25" t="str">
        <x:v>Homme</x:v>
      </x:c>
      <x:c r="E26" s="54" t="n">
        <x:v>30395</x:v>
      </x:c>
      <x:c r="F26" s="25" t="n">
        <x:v>43</x:v>
      </x:c>
      <x:c r="G26" s="25" t="str">
        <x:v>Marcory</x:v>
      </x:c>
      <x:c r="H26" s="25" t="str">
        <x:v>IVOIRIENNE</x:v>
      </x:c>
      <x:c r="I26" s="25" t="str">
        <x:v>CI000932202</x:v>
      </x:c>
      <x:c r="J26" s="25" t="str">
        <x:v>Célibataire</x:v>
      </x:c>
      <x:c r="K26" s="25" t="n">
        <x:v>1</x:v>
      </x:c>
      <x:c r="L26" s="25" t="str">
        <x:v>Marcory</x:v>
      </x:c>
      <x:c r="M26" s="25" t="str">
        <x:v>07 47 31 72 80</x:v>
      </x:c>
      <x:c r="N26" s="25" t="str">
        <x:v>akanga@afwasa.org</x:v>
      </x:c>
      <x:c r="O26" s="25" t="str">
        <x:v>ABOI Ahou Marguerite</x:v>
      </x:c>
      <x:c r="P26" s="25" t="str">
        <x:v>05 05 70 57 31</x:v>
      </x:c>
      <x:c r="Q26" s="25" t="str">
        <x:v>Responsable Données et Stratégies</x:v>
      </x:c>
      <x:c r="R26" s="25" t="str">
        <x:v>Cabinet DEX</x:v>
      </x:c>
      <x:c r="S26" s="25" t="str">
        <x:v>Annexe</x:v>
      </x:c>
      <x:c r="T26" s="25" t="str">
        <x:v>CDI</x:v>
      </x:c>
      <x:c r="U26" s="54" t="n">
        <x:v>44896</x:v>
      </x:c>
      <x:c r="V26" s="54" t="str">
        <x:v>N/A</x:v>
      </x:c>
      <x:c r="W26" s="25" t="n">
        <x:v>3</x:v>
      </x:c>
      <x:c r="X26" s="25" t="n">
        <x:v>183011531120</x:v>
      </x:c>
      <x:c r="Y26" s="25" t="str">
        <x:v>Actif</x:v>
      </x:c>
      <x:c r="Z26" s="25" t="str">
        <x:v>Cabinet de la Direction Exécutive</x:v>
      </x:c>
      <x:c r="AA26" s="25" t="n">
        <x:v>41</x:v>
      </x:c>
      <x:c r="AB26" s="25" t="str">
        <x:v>Non</x:v>
      </x:c>
    </x:row>
    <x:row r="27">
      <x:c r="A27" s="25" t="str">
        <x:v>0088F</x:v>
      </x:c>
      <x:c r="B27" s="25" t="str">
        <x:v>LAWSON</x:v>
      </x:c>
      <x:c r="C27" s="25" t="str">
        <x:v>Micheline</x:v>
      </x:c>
      <x:c r="D27" s="25" t="str">
        <x:v>Femme</x:v>
      </x:c>
      <x:c r="E27" s="54" t="n">
        <x:v>31669</x:v>
      </x:c>
      <x:c r="F27" s="25" t="n">
        <x:v>39</x:v>
      </x:c>
      <x:c r="G27" s="25" t="str">
        <x:v>Dakar</x:v>
      </x:c>
      <x:c r="H27" s="25" t="str">
        <x:v>SENEGALAISE</x:v>
      </x:c>
      <x:c r="I27" s="25" t="str">
        <x:v>A03350280</x:v>
      </x:c>
      <x:c r="J27" s="25" t="str">
        <x:v>Célibataire</x:v>
      </x:c>
      <x:c r="K27" s="25" t="n">
        <x:v>2</x:v>
      </x:c>
      <x:c r="L27" s="25" t="str">
        <x:v>Angré</x:v>
      </x:c>
      <x:c r="M27" s="25" t="str"/>
      <x:c r="N27" s="25" t="str">
        <x:v>mlawson@afwasa.org</x:v>
      </x:c>
      <x:c r="O27" s="25" t="str">
        <x:v>Fatoumata Ndiaye</x:v>
      </x:c>
      <x:c r="P27" s="25" t="str">
        <x:v>07 59 31 92 01</x:v>
      </x:c>
      <x:c r="Q27" s="25" t="str">
        <x:v>Responsable Evènementiel &amp; Marketing</x:v>
      </x:c>
      <x:c r="R27" s="25" t="str">
        <x:v>DMS</x:v>
      </x:c>
      <x:c r="S27" s="25" t="str">
        <x:v>Annexe</x:v>
      </x:c>
      <x:c r="T27" s="25" t="str">
        <x:v>CDI</x:v>
      </x:c>
      <x:c r="U27" s="54" t="n">
        <x:v>44958</x:v>
      </x:c>
      <x:c r="V27" s="54" t="str">
        <x:v>N/A</x:v>
      </x:c>
      <x:c r="W27" s="25" t="n">
        <x:v>3</x:v>
      </x:c>
      <x:c r="X27" s="25" t="n">
        <x:v>202300054873</x:v>
      </x:c>
      <x:c r="Y27" s="25" t="str">
        <x:v>Actif</x:v>
      </x:c>
      <x:c r="Z27" s="25" t="str">
        <x:v>Direction des Services aux Membres et des Programmes</x:v>
      </x:c>
      <x:c r="AA27" s="25" t="n">
        <x:v>38</x:v>
      </x:c>
      <x:c r="AB27" s="25" t="str">
        <x:v>Non</x:v>
      </x:c>
    </x:row>
    <x:row r="28">
      <x:c r="A28" s="25" t="str">
        <x:v>0094M</x:v>
      </x:c>
      <x:c r="B28" s="25" t="str">
        <x:v>KANGA</x:v>
      </x:c>
      <x:c r="C28" s="25" t="str">
        <x:v>Bénédicte Ahou</x:v>
      </x:c>
      <x:c r="D28" s="25" t="str">
        <x:v>Femme</x:v>
      </x:c>
      <x:c r="E28" s="54" t="n">
        <x:v>32507</x:v>
      </x:c>
      <x:c r="F28" s="25" t="n">
        <x:v>37</x:v>
      </x:c>
      <x:c r="G28" s="25" t="str">
        <x:v>Daoukro</x:v>
      </x:c>
      <x:c r="H28" s="25" t="str">
        <x:v>IVOIRIENNE</x:v>
      </x:c>
      <x:c r="I28" s="25" t="str">
        <x:v>CI000140843</x:v>
      </x:c>
      <x:c r="J28" s="25" t="str">
        <x:v>Célibataire</x:v>
      </x:c>
      <x:c r="K28" s="25" t="n">
        <x:v>0</x:v>
      </x:c>
      <x:c r="L28" s="25" t="str">
        <x:v>Abatta</x:v>
      </x:c>
      <x:c r="M28" s="25" t="str">
        <x:v>01 51 26 32 56</x:v>
      </x:c>
      <x:c r="N28" s="25" t="str">
        <x:v>bkanga@afwasa.org</x:v>
      </x:c>
      <x:c r="O28" s="25" t="str">
        <x:v>Kanga Yao</x:v>
      </x:c>
      <x:c r="P28" s="25" t="str">
        <x:v>07 07 86 56 75</x:v>
      </x:c>
      <x:c r="Q28" s="25" t="str">
        <x:v>Assistante Directions des Programmes</x:v>
      </x:c>
      <x:c r="R28" s="25" t="str">
        <x:v>DP</x:v>
      </x:c>
      <x:c r="S28" s="25" t="str">
        <x:v>Annexe</x:v>
      </x:c>
      <x:c r="T28" s="25" t="str">
        <x:v>CDI</x:v>
      </x:c>
      <x:c r="U28" s="54" t="n">
        <x:v>45061</x:v>
      </x:c>
      <x:c r="V28" s="54" t="str">
        <x:v>N/A</x:v>
      </x:c>
      <x:c r="W28" s="25" t="n">
        <x:v>3</x:v>
      </x:c>
      <x:c r="X28" s="25" t="str"/>
      <x:c r="Y28" s="25" t="str">
        <x:v>Actif</x:v>
      </x:c>
      <x:c r="Z28" s="25" t="str">
        <x:v>Direction des Services aux Membres et des Programmes</x:v>
      </x:c>
      <x:c r="AA28" s="25" t="n">
        <x:v>36</x:v>
      </x:c>
      <x:c r="AB28" s="25" t="str">
        <x:v>Non</x:v>
      </x:c>
    </x:row>
    <x:row r="29">
      <x:c r="A29" s="25" t="str">
        <x:v>0096A</x:v>
      </x:c>
      <x:c r="B29" s="25" t="str">
        <x:v>FADIGA</x:v>
      </x:c>
      <x:c r="C29" s="25" t="str">
        <x:v>Aboulaye</x:v>
      </x:c>
      <x:c r="D29" s="25" t="str">
        <x:v>Homme</x:v>
      </x:c>
      <x:c r="E29" s="54" t="n">
        <x:v>31619</x:v>
      </x:c>
      <x:c r="F29" s="25" t="n">
        <x:v>39</x:v>
      </x:c>
      <x:c r="G29" s="25" t="str">
        <x:v>Toulepleu</x:v>
      </x:c>
      <x:c r="H29" s="25" t="str">
        <x:v>IVOIRIENNE</x:v>
      </x:c>
      <x:c r="I29" s="25" t="str">
        <x:v>CI004568226</x:v>
      </x:c>
      <x:c r="J29" s="25" t="str">
        <x:v>Marié(e)</x:v>
      </x:c>
      <x:c r="K29" s="25" t="n">
        <x:v>0</x:v>
      </x:c>
      <x:c r="L29" s="25" t="str">
        <x:v>Palmeraie</x:v>
      </x:c>
      <x:c r="M29" s="25" t="str">
        <x:v>07 09 23 02 19</x:v>
      </x:c>
      <x:c r="N29" s="25" t="str">
        <x:v>afadiga@afwasa.org</x:v>
      </x:c>
      <x:c r="O29" s="25" t="str">
        <x:v>Dr Fadiga Kanvaly</x:v>
      </x:c>
      <x:c r="P29" s="25" t="str">
        <x:v>07 77 64 39 20</x:v>
      </x:c>
      <x:c r="Q29" s="25" t="str">
        <x:v>Assistant Achats</x:v>
      </x:c>
      <x:c r="R29" s="25" t="str">
        <x:v>DAF</x:v>
      </x:c>
      <x:c r="S29" s="25" t="str">
        <x:v>Siège</x:v>
      </x:c>
      <x:c r="T29" s="25" t="str">
        <x:v>CDD</x:v>
      </x:c>
      <x:c r="U29" s="54" t="n">
        <x:v>45139</x:v>
      </x:c>
      <x:c r="V29" s="54" t="n">
        <x:v>45869</x:v>
      </x:c>
      <x:c r="W29" s="25" t="n">
        <x:v>2</x:v>
      </x:c>
      <x:c r="X29" s="25" t="n">
        <x:v>186011269150</x:v>
      </x:c>
      <x:c r="Y29" s="25" t="str">
        <x:v>Actif</x:v>
      </x:c>
      <x:c r="Z29" s="25" t="str">
        <x:v>Direction Administrative et Financière</x:v>
      </x:c>
      <x:c r="AA29" s="25" t="n">
        <x:v>38</x:v>
      </x:c>
      <x:c r="AB29" s="25" t="str">
        <x:v>Non</x:v>
      </x:c>
    </x:row>
    <x:row r="30">
      <x:c r="A30" s="25" t="str">
        <x:v>0098S</x:v>
      </x:c>
      <x:c r="B30" s="25" t="str">
        <x:v>MUSIIME</x:v>
      </x:c>
      <x:c r="C30" s="25" t="str">
        <x:v>Julian</x:v>
      </x:c>
      <x:c r="D30" s="25" t="str">
        <x:v>Femme</x:v>
      </x:c>
      <x:c r="E30" s="54" t="n">
        <x:v>30924</x:v>
      </x:c>
      <x:c r="F30" s="25" t="n">
        <x:v>41</x:v>
      </x:c>
      <x:c r="G30" s="25" t="str">
        <x:v>Fortportal (Uganda)</x:v>
      </x:c>
      <x:c r="H30" s="25" t="str">
        <x:v>OUGANDAISE</x:v>
      </x:c>
      <x:c r="I30" s="25" t="str">
        <x:v>A00011207</x:v>
      </x:c>
      <x:c r="J30" s="25" t="str">
        <x:v>Célibataire</x:v>
      </x:c>
      <x:c r="K30" s="25" t="n">
        <x:v>2</x:v>
      </x:c>
      <x:c r="L30" s="25" t="str">
        <x:v>Cocody Faya</x:v>
      </x:c>
      <x:c r="M30" s="25" t="str"/>
      <x:c r="N30" s="25" t="str">
        <x:v>jmusiime@afwasa.org</x:v>
      </x:c>
      <x:c r="O30" s="25" t="str">
        <x:v>Deo Kalikumujima</x:v>
      </x:c>
      <x:c r="P30" s="25" t="str">
        <x:v>256 0782945674</x:v>
      </x:c>
      <x:c r="Q30" s="25" t="str">
        <x:v>Chargée de Programme Assainissement</x:v>
      </x:c>
      <x:c r="R30" s="25" t="str">
        <x:v>DP</x:v>
      </x:c>
      <x:c r="S30" s="25" t="str">
        <x:v>Annexe</x:v>
      </x:c>
      <x:c r="T30" s="25" t="str">
        <x:v>CDD</x:v>
      </x:c>
      <x:c r="U30" s="54" t="n">
        <x:v>45170</x:v>
      </x:c>
      <x:c r="V30" s="54" t="n">
        <x:v>45900</x:v>
      </x:c>
      <x:c r="W30" s="25" t="n">
        <x:v>2</x:v>
      </x:c>
      <x:c r="X30" s="25" t="n">
        <x:v>202300121456</x:v>
      </x:c>
      <x:c r="Y30" s="25" t="str">
        <x:v>Actif</x:v>
      </x:c>
      <x:c r="Z30" s="25" t="str">
        <x:v>Direction des Services aux Membres et des Programmes</x:v>
      </x:c>
      <x:c r="AA30" s="25" t="n">
        <x:v>40</x:v>
      </x:c>
      <x:c r="AB30" s="25" t="str">
        <x:v>Non</x:v>
      </x:c>
    </x:row>
    <x:row r="31">
      <x:c r="A31" s="25" t="str">
        <x:v>0099O</x:v>
      </x:c>
      <x:c r="B31" s="25" t="str">
        <x:v>KOUASSI</x:v>
      </x:c>
      <x:c r="C31" s="25" t="str">
        <x:v>Hemez Ange Aurelien</x:v>
      </x:c>
      <x:c r="D31" s="25" t="str">
        <x:v>Homme</x:v>
      </x:c>
      <x:c r="E31" s="54" t="n">
        <x:v>35631</x:v>
      </x:c>
      <x:c r="F31" s="25" t="n">
        <x:v>28</x:v>
      </x:c>
      <x:c r="G31" s="25" t="str">
        <x:v>Koumassi</x:v>
      </x:c>
      <x:c r="H31" s="25" t="str">
        <x:v>IVOIRIENNE</x:v>
      </x:c>
      <x:c r="I31" s="25" t="str">
        <x:v>C0112007892</x:v>
      </x:c>
      <x:c r="J31" s="25" t="str">
        <x:v>Célibataire</x:v>
      </x:c>
      <x:c r="K31" s="25" t="n">
        <x:v>0</x:v>
      </x:c>
      <x:c r="L31" s="25" t="str">
        <x:v>Abobo N’Dotré</x:v>
      </x:c>
      <x:c r="M31" s="25" t="str">
        <x:v>0707067376</x:v>
      </x:c>
      <x:c r="N31" s="25" t="str">
        <x:v>hakouassi@afwasa.org</x:v>
      </x:c>
      <x:c r="O31" s="25" t="str">
        <x:v>Kouakou Kouassi Hemez</x:v>
      </x:c>
      <x:c r="P31" s="25" t="str">
        <x:v>07 07 90 58 24</x:v>
      </x:c>
      <x:c r="Q31" s="25" t="str">
        <x:v>Chargé de Programme Eau en Milieu Rural</x:v>
      </x:c>
      <x:c r="R31" s="25" t="str">
        <x:v>DP</x:v>
      </x:c>
      <x:c r="S31" s="25" t="str">
        <x:v>Annexe</x:v>
      </x:c>
      <x:c r="T31" s="25" t="str">
        <x:v>CDD</x:v>
      </x:c>
      <x:c r="U31" s="54" t="n">
        <x:v>45224</x:v>
      </x:c>
      <x:c r="V31" s="54" t="n">
        <x:v>45954</x:v>
      </x:c>
      <x:c r="W31" s="25" t="n">
        <x:v>2</x:v>
      </x:c>
      <x:c r="X31" s="25" t="n">
        <x:v>202300133194</x:v>
      </x:c>
      <x:c r="Y31" s="25" t="str">
        <x:v>Actif</x:v>
      </x:c>
      <x:c r="Z31" s="25" t="str">
        <x:v>Direction des Services aux Membres et des Programmes</x:v>
      </x:c>
      <x:c r="AA31" s="25" t="n">
        <x:v>27</x:v>
      </x:c>
      <x:c r="AB31" s="25" t="str">
        <x:v>Non</x:v>
      </x:c>
    </x:row>
    <x:row r="32">
      <x:c r="A32" s="25" t="str">
        <x:v>0104F</x:v>
      </x:c>
      <x:c r="B32" s="25" t="str">
        <x:v>N'DOUA</x:v>
      </x:c>
      <x:c r="C32" s="25" t="str">
        <x:v>Kamenan Jean</x:v>
      </x:c>
      <x:c r="D32" s="25" t="str">
        <x:v>Homme</x:v>
      </x:c>
      <x:c r="E32" s="54" t="n">
        <x:v>31899</x:v>
      </x:c>
      <x:c r="F32" s="25" t="n">
        <x:v>39</x:v>
      </x:c>
      <x:c r="G32" s="25" t="str">
        <x:v>Dimbokro</x:v>
      </x:c>
      <x:c r="H32" s="25" t="str">
        <x:v>IVOIRIENNE</x:v>
      </x:c>
      <x:c r="I32" s="25" t="str">
        <x:v>CI006569155</x:v>
      </x:c>
      <x:c r="J32" s="25" t="str">
        <x:v>Célibataire</x:v>
      </x:c>
      <x:c r="K32" s="25" t="n">
        <x:v>1</x:v>
      </x:c>
      <x:c r="L32" s="25" t="str">
        <x:v>Gonzagville</x:v>
      </x:c>
      <x:c r="M32" s="25" t="str">
        <x:v>0717381525</x:v>
      </x:c>
      <x:c r="N32" s="25" t="str">
        <x:v>jndoua@afwasa.org</x:v>
      </x:c>
      <x:c r="O32" s="25" t="str">
        <x:v>N’DOUA Christophe</x:v>
      </x:c>
      <x:c r="P32" s="25" t="str">
        <x:v>01 01 07 77 71</x:v>
      </x:c>
      <x:c r="Q32" s="25" t="str">
        <x:v>Assistant Communication et Infographie</x:v>
      </x:c>
      <x:c r="R32" s="25" t="str">
        <x:v>Cabinet DEX</x:v>
      </x:c>
      <x:c r="S32" s="25" t="str">
        <x:v>Annexe</x:v>
      </x:c>
      <x:c r="T32" s="25" t="str">
        <x:v>CDD</x:v>
      </x:c>
      <x:c r="U32" s="54" t="n">
        <x:v>45343</x:v>
      </x:c>
      <x:c r="V32" s="54" t="n">
        <x:v>45889</x:v>
      </x:c>
      <x:c r="W32" s="25" t="n">
        <x:v>2</x:v>
      </x:c>
      <x:c r="X32" s="25" t="n">
        <x:v>187011222043</x:v>
      </x:c>
      <x:c r="Y32" s="25" t="str">
        <x:v>Actif</x:v>
      </x:c>
      <x:c r="Z32" s="25" t="str">
        <x:v>Cabinet de la Direction Exécutive</x:v>
      </x:c>
      <x:c r="AA32" s="25" t="n">
        <x:v>37</x:v>
      </x:c>
      <x:c r="AB32" s="25" t="str">
        <x:v>Non</x:v>
      </x:c>
    </x:row>
    <x:row r="33">
      <x:c r="A33" s="25" t="str">
        <x:v>0106J</x:v>
      </x:c>
      <x:c r="B33" s="25" t="str">
        <x:v>ELOUNDOU</x:v>
      </x:c>
      <x:c r="C33" s="25" t="str">
        <x:v>Elvis Bertrand</x:v>
      </x:c>
      <x:c r="D33" s="25" t="str">
        <x:v>Homme</x:v>
      </x:c>
      <x:c r="E33" s="54" t="n">
        <x:v>33395</x:v>
      </x:c>
      <x:c r="F33" s="25" t="n">
        <x:v>35</x:v>
      </x:c>
      <x:c r="G33" s="25" t="str">
        <x:v>Yaoundé (Cameroun )</x:v>
      </x:c>
      <x:c r="H33" s="25" t="str">
        <x:v>IVOIRIENNE</x:v>
      </x:c>
      <x:c r="I33" s="25" t="str"/>
      <x:c r="J33" s="25" t="str">
        <x:v>Célibataire</x:v>
      </x:c>
      <x:c r="K33" s="25" t="n">
        <x:v>1</x:v>
      </x:c>
      <x:c r="L33" s="25" t="str">
        <x:v>Nouveau Camp</x:v>
      </x:c>
      <x:c r="M33" s="25" t="str"/>
      <x:c r="N33" s="25" t="str">
        <x:v>beloundou@afwasa.org</x:v>
      </x:c>
      <x:c r="O33" s="25" t="str">
        <x:v>Eloundou Jacques</x:v>
      </x:c>
      <x:c r="P33" s="25" t="str">
        <x:v>237 699 900 730</x:v>
      </x:c>
      <x:c r="Q33" s="25" t="str">
        <x:v>Spécialiste GPC</x:v>
      </x:c>
      <x:c r="R33" s="25" t="str">
        <x:v>DP</x:v>
      </x:c>
      <x:c r="S33" s="25" t="str">
        <x:v>Annexe</x:v>
      </x:c>
      <x:c r="T33" s="25" t="str">
        <x:v>CDD</x:v>
      </x:c>
      <x:c r="U33" s="54" t="n">
        <x:v>45453</x:v>
      </x:c>
      <x:c r="V33" s="54" t="n">
        <x:v>45808</x:v>
      </x:c>
      <x:c r="W33" s="25" t="n">
        <x:v>2</x:v>
      </x:c>
      <x:c r="X33" s="25" t="n">
        <x:v>202400074775</x:v>
      </x:c>
      <x:c r="Y33" s="25" t="str">
        <x:v>Licencié</x:v>
      </x:c>
      <x:c r="Z33" s="25" t="str">
        <x:v>Direction des Services aux Membres et des Programmes</x:v>
      </x:c>
      <x:c r="AA33" s="25" t="n">
        <x:v>33</x:v>
      </x:c>
      <x:c r="AB33" s="25" t="str">
        <x:v>Non</x:v>
      </x:c>
    </x:row>
    <x:row r="34">
      <x:c r="A34" s="25" t="str">
        <x:v>0107J</x:v>
      </x:c>
      <x:c r="B34" s="25" t="str">
        <x:v>BAWA</x:v>
      </x:c>
      <x:c r="C34" s="25" t="str">
        <x:v>Kitchnime Gotau</x:v>
      </x:c>
      <x:c r="D34" s="25" t="str">
        <x:v>Homme</x:v>
      </x:c>
      <x:c r="E34" s="54" t="n">
        <x:v>27687</x:v>
      </x:c>
      <x:c r="F34" s="25" t="n">
        <x:v>50</x:v>
      </x:c>
      <x:c r="G34" s="25" t="str">
        <x:v>Nigeria (Kabwir)</x:v>
      </x:c>
      <x:c r="H34" s="25" t="str">
        <x:v>NIGERIANNE</x:v>
      </x:c>
      <x:c r="I34" s="25" t="str">
        <x:v>B03566880</x:v>
      </x:c>
      <x:c r="J34" s="25" t="str">
        <x:v>Marié(e)</x:v>
      </x:c>
      <x:c r="K34" s="25" t="n">
        <x:v>2</x:v>
      </x:c>
      <x:c r="L34" s="25" t="str">
        <x:v>Riviera Attoban</x:v>
      </x:c>
      <x:c r="M34" s="25" t="str">
        <x:v>+234 80-65-61-30-24</x:v>
      </x:c>
      <x:c r="N34" s="25" t="str">
        <x:v>kbawa@afwasa.org</x:v>
      </x:c>
      <x:c r="O34" s="25" t="str">
        <x:v>Kitchinme Sitshimwakat</x:v>
      </x:c>
      <x:c r="P34" s="25" t="str">
        <x:v>+234 8065613024</x:v>
      </x:c>
      <x:c r="Q34" s="25" t="str">
        <x:v>Coordonnateur Programme PASAOS</x:v>
      </x:c>
      <x:c r="R34" s="25" t="str">
        <x:v>DP</x:v>
      </x:c>
      <x:c r="S34" s="25" t="str">
        <x:v>Annexe</x:v>
      </x:c>
      <x:c r="T34" s="25" t="str">
        <x:v>CDD</x:v>
      </x:c>
      <x:c r="U34" s="54" t="n">
        <x:v>45460</x:v>
      </x:c>
      <x:c r="V34" s="54" t="n">
        <x:v>46189</x:v>
      </x:c>
      <x:c r="W34" s="25" t="n">
        <x:v>2</x:v>
      </x:c>
      <x:c r="X34" s="25" t="n">
        <x:v>202400072233</x:v>
      </x:c>
      <x:c r="Y34" s="25" t="str">
        <x:v>Actif</x:v>
      </x:c>
      <x:c r="Z34" s="25" t="str">
        <x:v>Direction des Services aux Membres et des Programmes</x:v>
      </x:c>
      <x:c r="AA34" s="25" t="n">
        <x:v>49</x:v>
      </x:c>
      <x:c r="AB34" s="25" t="str">
        <x:v>Non</x:v>
      </x:c>
    </x:row>
    <x:row r="35">
      <x:c r="A35" s="25" t="str">
        <x:v>0108J</x:v>
      </x:c>
      <x:c r="B35" s="25" t="str">
        <x:v>KOUAKOU</x:v>
      </x:c>
      <x:c r="C35" s="25" t="str">
        <x:v>Theodora Hamoin Anna Henriette</x:v>
      </x:c>
      <x:c r="D35" s="25" t="str">
        <x:v>Femme</x:v>
      </x:c>
      <x:c r="E35" s="54" t="n">
        <x:v>35974</x:v>
      </x:c>
      <x:c r="F35" s="25" t="n">
        <x:v>28</x:v>
      </x:c>
      <x:c r="G35" s="25" t="str">
        <x:v>Yopougon</x:v>
      </x:c>
      <x:c r="H35" s="25" t="str">
        <x:v>IVOIRIENNE</x:v>
      </x:c>
      <x:c r="I35" s="25" t="str">
        <x:v>CI000953513</x:v>
      </x:c>
      <x:c r="J35" s="25" t="str">
        <x:v>Célibataire</x:v>
      </x:c>
      <x:c r="K35" s="25" t="n">
        <x:v>0</x:v>
      </x:c>
      <x:c r="L35" s="25" t="str">
        <x:v>Riviera Palmeraie</x:v>
      </x:c>
      <x:c r="M35" s="25" t="str">
        <x:v>07 88 53 5867</x:v>
      </x:c>
      <x:c r="N35" s="25" t="str">
        <x:v>tkouakou@afwasa.org</x:v>
      </x:c>
      <x:c r="O35" s="25" t="str">
        <x:v>KOUAKOU Georgina</x:v>
      </x:c>
      <x:c r="P35" s="25" t="str">
        <x:v>0709090141</x:v>
      </x:c>
      <x:c r="Q35" s="25" t="str">
        <x:v>Assistante Comptable PASAOS</x:v>
      </x:c>
      <x:c r="R35" s="25" t="str">
        <x:v>DAF</x:v>
      </x:c>
      <x:c r="S35" s="25" t="str">
        <x:v>Siège</x:v>
      </x:c>
      <x:c r="T35" s="25" t="str">
        <x:v>CDD</x:v>
      </x:c>
      <x:c r="U35" s="54" t="n">
        <x:v>45323</x:v>
      </x:c>
      <x:c r="V35" s="54" t="str">
        <x:v>TERME IMPRECIS</x:v>
      </x:c>
      <x:c r="W35" s="25" t="n">
        <x:v>2</x:v>
      </x:c>
      <x:c r="X35" s="25" t="n">
        <x:v>202400033589</x:v>
      </x:c>
      <x:c r="Y35" s="25" t="str">
        <x:v>Actif</x:v>
      </x:c>
      <x:c r="Z35" s="25" t="str">
        <x:v>Direction Administrative et Financière</x:v>
      </x:c>
      <x:c r="AA35" s="25" t="n">
        <x:v>26</x:v>
      </x:c>
      <x:c r="AB35" s="25" t="str">
        <x:v>À vérifier</x:v>
      </x:c>
    </x:row>
    <x:row r="36">
      <x:c r="A36" s="25" t="str">
        <x:v>0111A</x:v>
      </x:c>
      <x:c r="B36" s="25" t="str">
        <x:v>GOSSO</x:v>
      </x:c>
      <x:c r="C36" s="25" t="str">
        <x:v>François Olivier</x:v>
      </x:c>
      <x:c r="D36" s="25" t="str">
        <x:v>Homme</x:v>
      </x:c>
      <x:c r="E36" s="54" t="n">
        <x:v>24564</x:v>
      </x:c>
      <x:c r="F36" s="25" t="n">
        <x:v>59</x:v>
      </x:c>
      <x:c r="G36" s="25" t="str">
        <x:v>Dabou</x:v>
      </x:c>
      <x:c r="H36" s="25" t="str">
        <x:v>IVOIRIENNE</x:v>
      </x:c>
      <x:c r="I36" s="25" t="str">
        <x:v>CI000384348</x:v>
      </x:c>
      <x:c r="J36" s="25" t="str">
        <x:v>Marié(e)</x:v>
      </x:c>
      <x:c r="K36" s="25" t="n">
        <x:v>4</x:v>
      </x:c>
      <x:c r="L36" s="25" t="str">
        <x:v>Riviera Golf</x:v>
      </x:c>
      <x:c r="M36" s="25" t="str"/>
      <x:c r="N36" s="25" t="str">
        <x:v>ogosso@afwasa.org</x:v>
      </x:c>
      <x:c r="O36" s="25" t="str"/>
      <x:c r="P36" s="25" t="str"/>
      <x:c r="Q36" s="25" t="str">
        <x:v>Directeur Exécutif</x:v>
      </x:c>
      <x:c r="R36" s="25" t="str">
        <x:v>Cabinet DEX</x:v>
      </x:c>
      <x:c r="S36" s="25" t="str">
        <x:v>Siège</x:v>
      </x:c>
      <x:c r="T36" s="25" t="str">
        <x:v>CDI</x:v>
      </x:c>
      <x:c r="U36" s="54" t="n">
        <x:v>45292</x:v>
      </x:c>
      <x:c r="V36" s="54" t="str">
        <x:v>N/A</x:v>
      </x:c>
      <x:c r="W36" s="25" t="n">
        <x:v>2</x:v>
      </x:c>
      <x:c r="X36" s="25" t="n">
        <x:v>167019216419</x:v>
      </x:c>
      <x:c r="Y36" s="25" t="str">
        <x:v>Actif</x:v>
      </x:c>
      <x:c r="Z36" s="25" t="str">
        <x:v>Cabinet de la Direction Exécutive</x:v>
      </x:c>
      <x:c r="AA36" s="25" t="str"/>
      <x:c r="AB36" s="25" t="str">
        <x:v>Non</x:v>
      </x:c>
    </x:row>
  </x:sheetData>
  <x:pageMargins left="0.7" right="0.7" top="0.75" bottom="0.75" header="0.3" footer="0.3"/>
  <x:tableParts count="1">
    <x:tablePart xmlns:r="http://schemas.openxmlformats.org/officeDocument/2006/relationships" r:id="R1f4ade3a005c45a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8" hidden="0" customWidth="1"/>
    <x:col min="15" max="15" width="28" hidden="0" customWidth="1"/>
  </x:cols>
  <x:sheetData>
    <x:row r="1">
      <x:c r="A1" s="14" t="str">
        <x:v>Matricule</x:v>
      </x:c>
      <x:c r="B1" s="14" t="str">
        <x:v>Salaire de base</x:v>
      </x:c>
      <x:c r="C1" s="14" t="str">
        <x:v>Sursalaire</x:v>
      </x:c>
      <x:c r="D1" s="14" t="str">
        <x:v>Parts IGR</x:v>
      </x:c>
      <x:c r="E1" s="14" t="str">
        <x:v>Pers. CMU salarié</x:v>
      </x:c>
      <x:c r="F1" s="14" t="str">
        <x:v>Pers. CMU employeur</x:v>
      </x:c>
      <x:c r="G1" s="14" t="str">
        <x:v>Transport versé</x:v>
      </x:c>
      <x:c r="H1" s="14" t="str">
        <x:v>Primes imposables</x:v>
      </x:c>
      <x:c r="I1" s="14" t="str">
        <x:v>Avantages imposables</x:v>
      </x:c>
      <x:c r="J1" s="14" t="str">
        <x:v>Autres indemnités non imposables</x:v>
      </x:c>
      <x:c r="K1" s="14" t="str">
        <x:v>Taux AT</x:v>
      </x:c>
      <x:c r="L1" s="14" t="str">
        <x:v>Base CNPS spécifique</x:v>
      </x:c>
      <x:c r="M1" s="14" t="str">
        <x:v>Date effet</x:v>
      </x:c>
      <x:c r="N1" s="14" t="str">
        <x:v>Statut profil</x:v>
      </x:c>
      <x:c r="O1" s="14" t="str">
        <x:v>Commentaire</x:v>
      </x:c>
    </x:row>
    <x:row r="2">
      <x:c r="A2" s="20" t="str">
        <x:v>0103F</x:v>
      </x:c>
      <x:c r="B2" s="40" t="n">
        <x:v>0</x:v>
      </x:c>
      <x:c r="C2" s="40" t="n">
        <x:v>0</x:v>
      </x:c>
      <x:c r="D2" s="40" t="n">
        <x:v>1</x:v>
      </x:c>
      <x:c r="E2" s="40" t="n">
        <x:v>1</x:v>
      </x:c>
      <x:c r="F2" s="40" t="n">
        <x:v>1</x:v>
      </x:c>
      <x:c r="G2" s="40" t="n">
        <x:v>0</x:v>
      </x:c>
      <x:c r="H2" s="40" t="n">
        <x:v>0</x:v>
      </x:c>
      <x:c r="I2" s="40" t="n">
        <x:v>0</x:v>
      </x:c>
      <x:c r="J2" s="40" t="n">
        <x:v>0</x:v>
      </x:c>
      <x:c r="K2" s="38" t="n">
        <x:v>0.02</x:v>
      </x:c>
      <x:c r="L2" s="34" t="str"/>
      <x:c r="M2" s="46" t="n">
        <x:v>45658</x:v>
      </x:c>
      <x:c r="N2" s="34" t="str">
        <x:v>À compléter</x:v>
      </x:c>
      <x:c r="O2" t="str"/>
    </x:row>
    <x:row r="3">
      <x:c r="A3" s="20" t="str">
        <x:v>0085N</x:v>
      </x:c>
      <x:c r="B3" s="40" t="n">
        <x:v>0</x:v>
      </x:c>
      <x:c r="C3" s="40" t="n">
        <x:v>0</x:v>
      </x:c>
      <x:c r="D3" s="40" t="n">
        <x:v>1</x:v>
      </x:c>
      <x:c r="E3" s="40" t="n">
        <x:v>1</x:v>
      </x:c>
      <x:c r="F3" s="40" t="n">
        <x:v>1</x:v>
      </x:c>
      <x:c r="G3" s="40" t="n">
        <x:v>0</x:v>
      </x:c>
      <x:c r="H3" s="40" t="n">
        <x:v>0</x:v>
      </x:c>
      <x:c r="I3" s="40" t="n">
        <x:v>0</x:v>
      </x:c>
      <x:c r="J3" s="40" t="n">
        <x:v>0</x:v>
      </x:c>
      <x:c r="K3" s="38" t="n">
        <x:v>0.02</x:v>
      </x:c>
      <x:c r="L3" s="34" t="str"/>
      <x:c r="M3" s="46" t="n">
        <x:v>45658</x:v>
      </x:c>
      <x:c r="N3" s="34" t="str">
        <x:v>À compléter</x:v>
      </x:c>
      <x:c r="O3" t="str"/>
    </x:row>
    <x:row r="4">
      <x:c r="A4" s="20" t="str">
        <x:v>0008D</x:v>
      </x:c>
      <x:c r="B4" s="40" t="n">
        <x:v>0</x:v>
      </x:c>
      <x:c r="C4" s="40" t="n">
        <x:v>0</x:v>
      </x:c>
      <x:c r="D4" s="40" t="n">
        <x:v>1</x:v>
      </x:c>
      <x:c r="E4" s="40" t="n">
        <x:v>1</x:v>
      </x:c>
      <x:c r="F4" s="40" t="n">
        <x:v>1</x:v>
      </x:c>
      <x:c r="G4" s="40" t="n">
        <x:v>0</x:v>
      </x:c>
      <x:c r="H4" s="40" t="n">
        <x:v>0</x:v>
      </x:c>
      <x:c r="I4" s="40" t="n">
        <x:v>0</x:v>
      </x:c>
      <x:c r="J4" s="40" t="n">
        <x:v>0</x:v>
      </x:c>
      <x:c r="K4" s="38" t="n">
        <x:v>0.02</x:v>
      </x:c>
      <x:c r="L4" s="34" t="str"/>
      <x:c r="M4" s="46" t="n">
        <x:v>45658</x:v>
      </x:c>
      <x:c r="N4" s="34" t="str">
        <x:v>À compléter</x:v>
      </x:c>
      <x:c r="O4" t="str"/>
    </x:row>
    <x:row r="5">
      <x:c r="A5" s="20" t="str">
        <x:v>0009A</x:v>
      </x:c>
      <x:c r="B5" s="40" t="n">
        <x:v>0</x:v>
      </x:c>
      <x:c r="C5" s="40" t="n">
        <x:v>0</x:v>
      </x:c>
      <x:c r="D5" s="40" t="n">
        <x:v>1</x:v>
      </x:c>
      <x:c r="E5" s="40" t="n">
        <x:v>1</x:v>
      </x:c>
      <x:c r="F5" s="40" t="n">
        <x:v>1</x:v>
      </x:c>
      <x:c r="G5" s="40" t="n">
        <x:v>0</x:v>
      </x:c>
      <x:c r="H5" s="40" t="n">
        <x:v>0</x:v>
      </x:c>
      <x:c r="I5" s="40" t="n">
        <x:v>0</x:v>
      </x:c>
      <x:c r="J5" s="40" t="n">
        <x:v>0</x:v>
      </x:c>
      <x:c r="K5" s="38" t="n">
        <x:v>0.02</x:v>
      </x:c>
      <x:c r="L5" s="34" t="str"/>
      <x:c r="M5" s="46" t="n">
        <x:v>45658</x:v>
      </x:c>
      <x:c r="N5" s="34" t="str">
        <x:v>À compléter</x:v>
      </x:c>
      <x:c r="O5" t="str"/>
    </x:row>
    <x:row r="6">
      <x:c r="A6" s="20" t="str">
        <x:v>0010H</x:v>
      </x:c>
      <x:c r="B6" s="40" t="n">
        <x:v>0</x:v>
      </x:c>
      <x:c r="C6" s="40" t="n">
        <x:v>0</x:v>
      </x:c>
      <x:c r="D6" s="40" t="n">
        <x:v>1</x:v>
      </x:c>
      <x:c r="E6" s="40" t="n">
        <x:v>1</x:v>
      </x:c>
      <x:c r="F6" s="40" t="n">
        <x:v>1</x:v>
      </x:c>
      <x:c r="G6" s="40" t="n">
        <x:v>0</x:v>
      </x:c>
      <x:c r="H6" s="40" t="n">
        <x:v>0</x:v>
      </x:c>
      <x:c r="I6" s="40" t="n">
        <x:v>0</x:v>
      </x:c>
      <x:c r="J6" s="40" t="n">
        <x:v>0</x:v>
      </x:c>
      <x:c r="K6" s="38" t="n">
        <x:v>0.02</x:v>
      </x:c>
      <x:c r="L6" s="34" t="str"/>
      <x:c r="M6" s="46" t="n">
        <x:v>45658</x:v>
      </x:c>
      <x:c r="N6" s="34" t="str">
        <x:v>À compléter</x:v>
      </x:c>
      <x:c r="O6" t="str"/>
    </x:row>
    <x:row r="7">
      <x:c r="A7" s="20" t="str">
        <x:v>0014D</x:v>
      </x:c>
      <x:c r="B7" s="40" t="n">
        <x:v>0</x:v>
      </x:c>
      <x:c r="C7" s="40" t="n">
        <x:v>0</x:v>
      </x:c>
      <x:c r="D7" s="40" t="n">
        <x:v>1</x:v>
      </x:c>
      <x:c r="E7" s="40" t="n">
        <x:v>1</x:v>
      </x:c>
      <x:c r="F7" s="40" t="n">
        <x:v>1</x:v>
      </x:c>
      <x:c r="G7" s="40" t="n">
        <x:v>0</x:v>
      </x:c>
      <x:c r="H7" s="40" t="n">
        <x:v>0</x:v>
      </x:c>
      <x:c r="I7" s="40" t="n">
        <x:v>0</x:v>
      </x:c>
      <x:c r="J7" s="40" t="n">
        <x:v>0</x:v>
      </x:c>
      <x:c r="K7" s="38" t="n">
        <x:v>0.02</x:v>
      </x:c>
      <x:c r="L7" s="34" t="str"/>
      <x:c r="M7" s="46" t="n">
        <x:v>45658</x:v>
      </x:c>
      <x:c r="N7" s="34" t="str">
        <x:v>À compléter</x:v>
      </x:c>
      <x:c r="O7" t="str"/>
    </x:row>
    <x:row r="8">
      <x:c r="A8" s="20" t="str">
        <x:v>0017F</x:v>
      </x:c>
      <x:c r="B8" s="40" t="n">
        <x:v>0</x:v>
      </x:c>
      <x:c r="C8" s="40" t="n">
        <x:v>0</x:v>
      </x:c>
      <x:c r="D8" s="40" t="n">
        <x:v>1</x:v>
      </x:c>
      <x:c r="E8" s="40" t="n">
        <x:v>1</x:v>
      </x:c>
      <x:c r="F8" s="40" t="n">
        <x:v>1</x:v>
      </x:c>
      <x:c r="G8" s="40" t="n">
        <x:v>0</x:v>
      </x:c>
      <x:c r="H8" s="40" t="n">
        <x:v>0</x:v>
      </x:c>
      <x:c r="I8" s="40" t="n">
        <x:v>0</x:v>
      </x:c>
      <x:c r="J8" s="40" t="n">
        <x:v>0</x:v>
      </x:c>
      <x:c r="K8" s="38" t="n">
        <x:v>0.02</x:v>
      </x:c>
      <x:c r="L8" s="34" t="str"/>
      <x:c r="M8" s="46" t="n">
        <x:v>45658</x:v>
      </x:c>
      <x:c r="N8" s="34" t="str">
        <x:v>À compléter</x:v>
      </x:c>
      <x:c r="O8" t="str"/>
    </x:row>
    <x:row r="9">
      <x:c r="A9" s="20" t="str">
        <x:v>0020K</x:v>
      </x:c>
      <x:c r="B9" s="40" t="n">
        <x:v>0</x:v>
      </x:c>
      <x:c r="C9" s="40" t="n">
        <x:v>0</x:v>
      </x:c>
      <x:c r="D9" s="40" t="n">
        <x:v>1</x:v>
      </x:c>
      <x:c r="E9" s="40" t="n">
        <x:v>1</x:v>
      </x:c>
      <x:c r="F9" s="40" t="n">
        <x:v>1</x:v>
      </x:c>
      <x:c r="G9" s="40" t="n">
        <x:v>0</x:v>
      </x:c>
      <x:c r="H9" s="40" t="n">
        <x:v>0</x:v>
      </x:c>
      <x:c r="I9" s="40" t="n">
        <x:v>0</x:v>
      </x:c>
      <x:c r="J9" s="40" t="n">
        <x:v>0</x:v>
      </x:c>
      <x:c r="K9" s="38" t="n">
        <x:v>0.02</x:v>
      </x:c>
      <x:c r="L9" s="34" t="str"/>
      <x:c r="M9" s="46" t="n">
        <x:v>45658</x:v>
      </x:c>
      <x:c r="N9" s="34" t="str">
        <x:v>À compléter</x:v>
      </x:c>
      <x:c r="O9" t="str"/>
    </x:row>
    <x:row r="10">
      <x:c r="A10" s="20" t="str">
        <x:v>0028M</x:v>
      </x:c>
      <x:c r="B10" s="40" t="n">
        <x:v>0</x:v>
      </x:c>
      <x:c r="C10" s="40" t="n">
        <x:v>0</x:v>
      </x:c>
      <x:c r="D10" s="40" t="n">
        <x:v>1</x:v>
      </x:c>
      <x:c r="E10" s="40" t="n">
        <x:v>1</x:v>
      </x:c>
      <x:c r="F10" s="40" t="n">
        <x:v>1</x:v>
      </x:c>
      <x:c r="G10" s="40" t="n">
        <x:v>0</x:v>
      </x:c>
      <x:c r="H10" s="40" t="n">
        <x:v>0</x:v>
      </x:c>
      <x:c r="I10" s="40" t="n">
        <x:v>0</x:v>
      </x:c>
      <x:c r="J10" s="40" t="n">
        <x:v>0</x:v>
      </x:c>
      <x:c r="K10" s="38" t="n">
        <x:v>0.02</x:v>
      </x:c>
      <x:c r="L10" s="34" t="str"/>
      <x:c r="M10" s="46" t="n">
        <x:v>45658</x:v>
      </x:c>
      <x:c r="N10" s="34" t="str">
        <x:v>À compléter</x:v>
      </x:c>
      <x:c r="O10" t="str"/>
    </x:row>
    <x:row r="11">
      <x:c r="A11" s="20" t="str">
        <x:v>0030E</x:v>
      </x:c>
      <x:c r="B11" s="40" t="n">
        <x:v>0</x:v>
      </x:c>
      <x:c r="C11" s="40" t="n">
        <x:v>0</x:v>
      </x:c>
      <x:c r="D11" s="40" t="n">
        <x:v>1</x:v>
      </x:c>
      <x:c r="E11" s="40" t="n">
        <x:v>1</x:v>
      </x:c>
      <x:c r="F11" s="40" t="n">
        <x:v>1</x:v>
      </x:c>
      <x:c r="G11" s="40" t="n">
        <x:v>0</x:v>
      </x:c>
      <x:c r="H11" s="40" t="n">
        <x:v>0</x:v>
      </x:c>
      <x:c r="I11" s="40" t="n">
        <x:v>0</x:v>
      </x:c>
      <x:c r="J11" s="40" t="n">
        <x:v>0</x:v>
      </x:c>
      <x:c r="K11" s="38" t="n">
        <x:v>0.02</x:v>
      </x:c>
      <x:c r="L11" s="34" t="str"/>
      <x:c r="M11" s="46" t="n">
        <x:v>45658</x:v>
      </x:c>
      <x:c r="N11" s="34" t="str">
        <x:v>À compléter</x:v>
      </x:c>
      <x:c r="O11" t="str"/>
    </x:row>
    <x:row r="12">
      <x:c r="A12" s="20" t="str">
        <x:v>0032F</x:v>
      </x:c>
      <x:c r="B12" s="40" t="n">
        <x:v>0</x:v>
      </x:c>
      <x:c r="C12" s="40" t="n">
        <x:v>0</x:v>
      </x:c>
      <x:c r="D12" s="40" t="n">
        <x:v>1</x:v>
      </x:c>
      <x:c r="E12" s="40" t="n">
        <x:v>1</x:v>
      </x:c>
      <x:c r="F12" s="40" t="n">
        <x:v>1</x:v>
      </x:c>
      <x:c r="G12" s="40" t="n">
        <x:v>0</x:v>
      </x:c>
      <x:c r="H12" s="40" t="n">
        <x:v>0</x:v>
      </x:c>
      <x:c r="I12" s="40" t="n">
        <x:v>0</x:v>
      </x:c>
      <x:c r="J12" s="40" t="n">
        <x:v>0</x:v>
      </x:c>
      <x:c r="K12" s="38" t="n">
        <x:v>0.02</x:v>
      </x:c>
      <x:c r="L12" s="34" t="str"/>
      <x:c r="M12" s="46" t="n">
        <x:v>45658</x:v>
      </x:c>
      <x:c r="N12" s="34" t="str">
        <x:v>À compléter</x:v>
      </x:c>
      <x:c r="O12" t="str"/>
    </x:row>
    <x:row r="13">
      <x:c r="A13" s="20" t="str">
        <x:v>0033M</x:v>
      </x:c>
      <x:c r="B13" s="40" t="n">
        <x:v>0</x:v>
      </x:c>
      <x:c r="C13" s="40" t="n">
        <x:v>0</x:v>
      </x:c>
      <x:c r="D13" s="40" t="n">
        <x:v>1</x:v>
      </x:c>
      <x:c r="E13" s="40" t="n">
        <x:v>1</x:v>
      </x:c>
      <x:c r="F13" s="40" t="n">
        <x:v>1</x:v>
      </x:c>
      <x:c r="G13" s="40" t="n">
        <x:v>0</x:v>
      </x:c>
      <x:c r="H13" s="40" t="n">
        <x:v>0</x:v>
      </x:c>
      <x:c r="I13" s="40" t="n">
        <x:v>0</x:v>
      </x:c>
      <x:c r="J13" s="40" t="n">
        <x:v>0</x:v>
      </x:c>
      <x:c r="K13" s="38" t="n">
        <x:v>0.02</x:v>
      </x:c>
      <x:c r="L13" s="34" t="str"/>
      <x:c r="M13" s="46" t="n">
        <x:v>45658</x:v>
      </x:c>
      <x:c r="N13" s="34" t="str">
        <x:v>À compléter</x:v>
      </x:c>
      <x:c r="O13" t="str"/>
    </x:row>
    <x:row r="14">
      <x:c r="A14" s="20" t="str">
        <x:v>0038M</x:v>
      </x:c>
      <x:c r="B14" s="40" t="n">
        <x:v>0</x:v>
      </x:c>
      <x:c r="C14" s="40" t="n">
        <x:v>0</x:v>
      </x:c>
      <x:c r="D14" s="40" t="n">
        <x:v>1</x:v>
      </x:c>
      <x:c r="E14" s="40" t="n">
        <x:v>1</x:v>
      </x:c>
      <x:c r="F14" s="40" t="n">
        <x:v>1</x:v>
      </x:c>
      <x:c r="G14" s="40" t="n">
        <x:v>0</x:v>
      </x:c>
      <x:c r="H14" s="40" t="n">
        <x:v>0</x:v>
      </x:c>
      <x:c r="I14" s="40" t="n">
        <x:v>0</x:v>
      </x:c>
      <x:c r="J14" s="40" t="n">
        <x:v>0</x:v>
      </x:c>
      <x:c r="K14" s="38" t="n">
        <x:v>0.02</x:v>
      </x:c>
      <x:c r="L14" s="34" t="str"/>
      <x:c r="M14" s="46" t="n">
        <x:v>45658</x:v>
      </x:c>
      <x:c r="N14" s="34" t="str">
        <x:v>À compléter</x:v>
      </x:c>
      <x:c r="O14" t="str"/>
    </x:row>
    <x:row r="15">
      <x:c r="A15" s="20" t="str">
        <x:v>0040N</x:v>
      </x:c>
      <x:c r="B15" s="40" t="n">
        <x:v>0</x:v>
      </x:c>
      <x:c r="C15" s="40" t="n">
        <x:v>0</x:v>
      </x:c>
      <x:c r="D15" s="40" t="n">
        <x:v>1</x:v>
      </x:c>
      <x:c r="E15" s="40" t="n">
        <x:v>1</x:v>
      </x:c>
      <x:c r="F15" s="40" t="n">
        <x:v>1</x:v>
      </x:c>
      <x:c r="G15" s="40" t="n">
        <x:v>0</x:v>
      </x:c>
      <x:c r="H15" s="40" t="n">
        <x:v>0</x:v>
      </x:c>
      <x:c r="I15" s="40" t="n">
        <x:v>0</x:v>
      </x:c>
      <x:c r="J15" s="40" t="n">
        <x:v>0</x:v>
      </x:c>
      <x:c r="K15" s="38" t="n">
        <x:v>0.02</x:v>
      </x:c>
      <x:c r="L15" s="34" t="str"/>
      <x:c r="M15" s="46" t="n">
        <x:v>45658</x:v>
      </x:c>
      <x:c r="N15" s="34" t="str">
        <x:v>À compléter</x:v>
      </x:c>
      <x:c r="O15" t="str"/>
    </x:row>
    <x:row r="16">
      <x:c r="A16" s="20" t="str">
        <x:v>0045A</x:v>
      </x:c>
      <x:c r="B16" s="40" t="n">
        <x:v>0</x:v>
      </x:c>
      <x:c r="C16" s="40" t="n">
        <x:v>0</x:v>
      </x:c>
      <x:c r="D16" s="40" t="n">
        <x:v>1</x:v>
      </x:c>
      <x:c r="E16" s="40" t="n">
        <x:v>1</x:v>
      </x:c>
      <x:c r="F16" s="40" t="n">
        <x:v>1</x:v>
      </x:c>
      <x:c r="G16" s="40" t="n">
        <x:v>0</x:v>
      </x:c>
      <x:c r="H16" s="40" t="n">
        <x:v>0</x:v>
      </x:c>
      <x:c r="I16" s="40" t="n">
        <x:v>0</x:v>
      </x:c>
      <x:c r="J16" s="40" t="n">
        <x:v>0</x:v>
      </x:c>
      <x:c r="K16" s="38" t="n">
        <x:v>0.02</x:v>
      </x:c>
      <x:c r="L16" s="34" t="str"/>
      <x:c r="M16" s="46" t="n">
        <x:v>45658</x:v>
      </x:c>
      <x:c r="N16" s="34" t="str">
        <x:v>À compléter</x:v>
      </x:c>
      <x:c r="O16" t="str"/>
    </x:row>
    <x:row r="17">
      <x:c r="A17" s="20" t="str">
        <x:v>0046J</x:v>
      </x:c>
      <x:c r="B17" s="40" t="n">
        <x:v>0</x:v>
      </x:c>
      <x:c r="C17" s="40" t="n">
        <x:v>0</x:v>
      </x:c>
      <x:c r="D17" s="40" t="n">
        <x:v>1</x:v>
      </x:c>
      <x:c r="E17" s="40" t="n">
        <x:v>1</x:v>
      </x:c>
      <x:c r="F17" s="40" t="n">
        <x:v>1</x:v>
      </x:c>
      <x:c r="G17" s="40" t="n">
        <x:v>0</x:v>
      </x:c>
      <x:c r="H17" s="40" t="n">
        <x:v>0</x:v>
      </x:c>
      <x:c r="I17" s="40" t="n">
        <x:v>0</x:v>
      </x:c>
      <x:c r="J17" s="40" t="n">
        <x:v>0</x:v>
      </x:c>
      <x:c r="K17" s="38" t="n">
        <x:v>0.02</x:v>
      </x:c>
      <x:c r="L17" s="34" t="str"/>
      <x:c r="M17" s="46" t="n">
        <x:v>45658</x:v>
      </x:c>
      <x:c r="N17" s="34" t="str">
        <x:v>À compléter</x:v>
      </x:c>
      <x:c r="O17" t="str"/>
    </x:row>
    <x:row r="18">
      <x:c r="A18" s="20" t="str">
        <x:v>0062J</x:v>
      </x:c>
      <x:c r="B18" s="40" t="n">
        <x:v>0</x:v>
      </x:c>
      <x:c r="C18" s="40" t="n">
        <x:v>0</x:v>
      </x:c>
      <x:c r="D18" s="40" t="n">
        <x:v>1</x:v>
      </x:c>
      <x:c r="E18" s="40" t="n">
        <x:v>1</x:v>
      </x:c>
      <x:c r="F18" s="40" t="n">
        <x:v>1</x:v>
      </x:c>
      <x:c r="G18" s="40" t="n">
        <x:v>0</x:v>
      </x:c>
      <x:c r="H18" s="40" t="n">
        <x:v>0</x:v>
      </x:c>
      <x:c r="I18" s="40" t="n">
        <x:v>0</x:v>
      </x:c>
      <x:c r="J18" s="40" t="n">
        <x:v>0</x:v>
      </x:c>
      <x:c r="K18" s="38" t="n">
        <x:v>0.02</x:v>
      </x:c>
      <x:c r="L18" s="34" t="str"/>
      <x:c r="M18" s="46" t="n">
        <x:v>45658</x:v>
      </x:c>
      <x:c r="N18" s="34" t="str">
        <x:v>À compléter</x:v>
      </x:c>
      <x:c r="O18" t="str"/>
    </x:row>
    <x:row r="19">
      <x:c r="A19" s="20" t="str">
        <x:v>0073D</x:v>
      </x:c>
      <x:c r="B19" s="40" t="n">
        <x:v>0</x:v>
      </x:c>
      <x:c r="C19" s="40" t="n">
        <x:v>0</x:v>
      </x:c>
      <x:c r="D19" s="40" t="n">
        <x:v>1</x:v>
      </x:c>
      <x:c r="E19" s="40" t="n">
        <x:v>1</x:v>
      </x:c>
      <x:c r="F19" s="40" t="n">
        <x:v>1</x:v>
      </x:c>
      <x:c r="G19" s="40" t="n">
        <x:v>0</x:v>
      </x:c>
      <x:c r="H19" s="40" t="n">
        <x:v>0</x:v>
      </x:c>
      <x:c r="I19" s="40" t="n">
        <x:v>0</x:v>
      </x:c>
      <x:c r="J19" s="40" t="n">
        <x:v>0</x:v>
      </x:c>
      <x:c r="K19" s="38" t="n">
        <x:v>0.02</x:v>
      </x:c>
      <x:c r="L19" s="34" t="str"/>
      <x:c r="M19" s="46" t="n">
        <x:v>45658</x:v>
      </x:c>
      <x:c r="N19" s="34" t="str">
        <x:v>À compléter</x:v>
      </x:c>
      <x:c r="O19" t="str"/>
    </x:row>
    <x:row r="20">
      <x:c r="A20" s="20" t="str">
        <x:v>0074J</x:v>
      </x:c>
      <x:c r="B20" s="40" t="n">
        <x:v>0</x:v>
      </x:c>
      <x:c r="C20" s="40" t="n">
        <x:v>0</x:v>
      </x:c>
      <x:c r="D20" s="40" t="n">
        <x:v>1</x:v>
      </x:c>
      <x:c r="E20" s="40" t="n">
        <x:v>1</x:v>
      </x:c>
      <x:c r="F20" s="40" t="n">
        <x:v>1</x:v>
      </x:c>
      <x:c r="G20" s="40" t="n">
        <x:v>0</x:v>
      </x:c>
      <x:c r="H20" s="40" t="n">
        <x:v>0</x:v>
      </x:c>
      <x:c r="I20" s="40" t="n">
        <x:v>0</x:v>
      </x:c>
      <x:c r="J20" s="40" t="n">
        <x:v>0</x:v>
      </x:c>
      <x:c r="K20" s="38" t="n">
        <x:v>0.02</x:v>
      </x:c>
      <x:c r="L20" s="34" t="str"/>
      <x:c r="M20" s="46" t="n">
        <x:v>45658</x:v>
      </x:c>
      <x:c r="N20" s="34" t="str">
        <x:v>À compléter</x:v>
      </x:c>
      <x:c r="O20" t="str"/>
    </x:row>
    <x:row r="21">
      <x:c r="A21" s="20" t="str">
        <x:v>0075J</x:v>
      </x:c>
      <x:c r="B21" s="40" t="n">
        <x:v>0</x:v>
      </x:c>
      <x:c r="C21" s="40" t="n">
        <x:v>0</x:v>
      </x:c>
      <x:c r="D21" s="40" t="n">
        <x:v>1</x:v>
      </x:c>
      <x:c r="E21" s="40" t="n">
        <x:v>1</x:v>
      </x:c>
      <x:c r="F21" s="40" t="n">
        <x:v>1</x:v>
      </x:c>
      <x:c r="G21" s="40" t="n">
        <x:v>0</x:v>
      </x:c>
      <x:c r="H21" s="40" t="n">
        <x:v>0</x:v>
      </x:c>
      <x:c r="I21" s="40" t="n">
        <x:v>0</x:v>
      </x:c>
      <x:c r="J21" s="40" t="n">
        <x:v>0</x:v>
      </x:c>
      <x:c r="K21" s="38" t="n">
        <x:v>0.02</x:v>
      </x:c>
      <x:c r="L21" s="34" t="str"/>
      <x:c r="M21" s="46" t="n">
        <x:v>45658</x:v>
      </x:c>
      <x:c r="N21" s="34" t="str">
        <x:v>À compléter</x:v>
      </x:c>
      <x:c r="O21" t="str"/>
    </x:row>
    <x:row r="22">
      <x:c r="A22" s="20" t="str">
        <x:v>0076J</x:v>
      </x:c>
      <x:c r="B22" s="40" t="n">
        <x:v>0</x:v>
      </x:c>
      <x:c r="C22" s="40" t="n">
        <x:v>0</x:v>
      </x:c>
      <x:c r="D22" s="40" t="n">
        <x:v>1</x:v>
      </x:c>
      <x:c r="E22" s="40" t="n">
        <x:v>1</x:v>
      </x:c>
      <x:c r="F22" s="40" t="n">
        <x:v>1</x:v>
      </x:c>
      <x:c r="G22" s="40" t="n">
        <x:v>0</x:v>
      </x:c>
      <x:c r="H22" s="40" t="n">
        <x:v>0</x:v>
      </x:c>
      <x:c r="I22" s="40" t="n">
        <x:v>0</x:v>
      </x:c>
      <x:c r="J22" s="40" t="n">
        <x:v>0</x:v>
      </x:c>
      <x:c r="K22" s="38" t="n">
        <x:v>0.02</x:v>
      </x:c>
      <x:c r="L22" s="34" t="str"/>
      <x:c r="M22" s="46" t="n">
        <x:v>45658</x:v>
      </x:c>
      <x:c r="N22" s="34" t="str">
        <x:v>À compléter</x:v>
      </x:c>
      <x:c r="O22" t="str"/>
    </x:row>
    <x:row r="23">
      <x:c r="A23" s="20" t="str">
        <x:v>0078M</x:v>
      </x:c>
      <x:c r="B23" s="40" t="n">
        <x:v>0</x:v>
      </x:c>
      <x:c r="C23" s="40" t="n">
        <x:v>0</x:v>
      </x:c>
      <x:c r="D23" s="40" t="n">
        <x:v>1</x:v>
      </x:c>
      <x:c r="E23" s="40" t="n">
        <x:v>1</x:v>
      </x:c>
      <x:c r="F23" s="40" t="n">
        <x:v>1</x:v>
      </x:c>
      <x:c r="G23" s="40" t="n">
        <x:v>0</x:v>
      </x:c>
      <x:c r="H23" s="40" t="n">
        <x:v>0</x:v>
      </x:c>
      <x:c r="I23" s="40" t="n">
        <x:v>0</x:v>
      </x:c>
      <x:c r="J23" s="40" t="n">
        <x:v>0</x:v>
      </x:c>
      <x:c r="K23" s="38" t="n">
        <x:v>0.02</x:v>
      </x:c>
      <x:c r="L23" s="34" t="str"/>
      <x:c r="M23" s="46" t="n">
        <x:v>45658</x:v>
      </x:c>
      <x:c r="N23" s="34" t="str">
        <x:v>À compléter</x:v>
      </x:c>
      <x:c r="O23" t="str"/>
    </x:row>
    <x:row r="24">
      <x:c r="A24" s="20" t="str">
        <x:v>0079M</x:v>
      </x:c>
      <x:c r="B24" s="40" t="n">
        <x:v>0</x:v>
      </x:c>
      <x:c r="C24" s="40" t="n">
        <x:v>0</x:v>
      </x:c>
      <x:c r="D24" s="40" t="n">
        <x:v>1</x:v>
      </x:c>
      <x:c r="E24" s="40" t="n">
        <x:v>1</x:v>
      </x:c>
      <x:c r="F24" s="40" t="n">
        <x:v>1</x:v>
      </x:c>
      <x:c r="G24" s="40" t="n">
        <x:v>0</x:v>
      </x:c>
      <x:c r="H24" s="40" t="n">
        <x:v>0</x:v>
      </x:c>
      <x:c r="I24" s="40" t="n">
        <x:v>0</x:v>
      </x:c>
      <x:c r="J24" s="40" t="n">
        <x:v>0</x:v>
      </x:c>
      <x:c r="K24" s="38" t="n">
        <x:v>0.02</x:v>
      </x:c>
      <x:c r="L24" s="34" t="str"/>
      <x:c r="M24" s="46" t="n">
        <x:v>45658</x:v>
      </x:c>
      <x:c r="N24" s="34" t="str">
        <x:v>À compléter</x:v>
      </x:c>
      <x:c r="O24" t="str"/>
    </x:row>
    <x:row r="25">
      <x:c r="A25" s="20" t="str">
        <x:v>0081A</x:v>
      </x:c>
      <x:c r="B25" s="40" t="n">
        <x:v>0</x:v>
      </x:c>
      <x:c r="C25" s="40" t="n">
        <x:v>0</x:v>
      </x:c>
      <x:c r="D25" s="40" t="n">
        <x:v>1</x:v>
      </x:c>
      <x:c r="E25" s="40" t="n">
        <x:v>1</x:v>
      </x:c>
      <x:c r="F25" s="40" t="n">
        <x:v>1</x:v>
      </x:c>
      <x:c r="G25" s="40" t="n">
        <x:v>0</x:v>
      </x:c>
      <x:c r="H25" s="40" t="n">
        <x:v>0</x:v>
      </x:c>
      <x:c r="I25" s="40" t="n">
        <x:v>0</x:v>
      </x:c>
      <x:c r="J25" s="40" t="n">
        <x:v>0</x:v>
      </x:c>
      <x:c r="K25" s="38" t="n">
        <x:v>0.02</x:v>
      </x:c>
      <x:c r="L25" s="34" t="str"/>
      <x:c r="M25" s="46" t="n">
        <x:v>45658</x:v>
      </x:c>
      <x:c r="N25" s="34" t="str">
        <x:v>À compléter</x:v>
      </x:c>
      <x:c r="O25" t="str"/>
    </x:row>
    <x:row r="26">
      <x:c r="A26" s="20" t="str">
        <x:v>0000Z</x:v>
      </x:c>
      <x:c r="B26" s="40" t="n">
        <x:v>176701</x:v>
      </x:c>
      <x:c r="C26" s="40" t="n">
        <x:v>769549</x:v>
      </x:c>
      <x:c r="D26" s="40" t="n">
        <x:v>2</x:v>
      </x:c>
      <x:c r="E26" s="40" t="n">
        <x:v>2</x:v>
      </x:c>
      <x:c r="F26" s="40" t="n">
        <x:v>2</x:v>
      </x:c>
      <x:c r="G26" s="40" t="n">
        <x:v>30000</x:v>
      </x:c>
      <x:c r="H26" s="40" t="n">
        <x:v>0</x:v>
      </x:c>
      <x:c r="I26" s="40" t="n">
        <x:v>0</x:v>
      </x:c>
      <x:c r="J26" s="40" t="n">
        <x:v>0</x:v>
      </x:c>
      <x:c r="K26" s="38" t="n">
        <x:v>0.02</x:v>
      </x:c>
      <x:c r="L26" s="34" t="str"/>
      <x:c r="M26" s="46" t="n">
        <x:v>45658</x:v>
      </x:c>
      <x:c r="N26" s="34" t="str">
        <x:v>Test validé</x:v>
      </x:c>
      <x:c r="O26" t="str">
        <x:v>Cas test anonymisé du bulletin fourni</x:v>
      </x:c>
    </x:row>
    <x:row r="27">
      <x:c r="A27" s="20" t="str">
        <x:v>0088F</x:v>
      </x:c>
      <x:c r="B27" s="40" t="n">
        <x:v>0</x:v>
      </x:c>
      <x:c r="C27" s="40" t="n">
        <x:v>0</x:v>
      </x:c>
      <x:c r="D27" s="40" t="n">
        <x:v>1</x:v>
      </x:c>
      <x:c r="E27" s="40" t="n">
        <x:v>1</x:v>
      </x:c>
      <x:c r="F27" s="40" t="n">
        <x:v>1</x:v>
      </x:c>
      <x:c r="G27" s="40" t="n">
        <x:v>0</x:v>
      </x:c>
      <x:c r="H27" s="40" t="n">
        <x:v>0</x:v>
      </x:c>
      <x:c r="I27" s="40" t="n">
        <x:v>0</x:v>
      </x:c>
      <x:c r="J27" s="40" t="n">
        <x:v>0</x:v>
      </x:c>
      <x:c r="K27" s="38" t="n">
        <x:v>0.02</x:v>
      </x:c>
      <x:c r="L27" s="34" t="str"/>
      <x:c r="M27" s="46" t="n">
        <x:v>45658</x:v>
      </x:c>
      <x:c r="N27" s="34" t="str">
        <x:v>À compléter</x:v>
      </x:c>
      <x:c r="O27" t="str"/>
    </x:row>
    <x:row r="28">
      <x:c r="A28" s="20" t="str">
        <x:v>0094M</x:v>
      </x:c>
      <x:c r="B28" s="40" t="n">
        <x:v>0</x:v>
      </x:c>
      <x:c r="C28" s="40" t="n">
        <x:v>0</x:v>
      </x:c>
      <x:c r="D28" s="40" t="n">
        <x:v>1</x:v>
      </x:c>
      <x:c r="E28" s="40" t="n">
        <x:v>1</x:v>
      </x:c>
      <x:c r="F28" s="40" t="n">
        <x:v>1</x:v>
      </x:c>
      <x:c r="G28" s="40" t="n">
        <x:v>0</x:v>
      </x:c>
      <x:c r="H28" s="40" t="n">
        <x:v>0</x:v>
      </x:c>
      <x:c r="I28" s="40" t="n">
        <x:v>0</x:v>
      </x:c>
      <x:c r="J28" s="40" t="n">
        <x:v>0</x:v>
      </x:c>
      <x:c r="K28" s="38" t="n">
        <x:v>0.02</x:v>
      </x:c>
      <x:c r="L28" s="34" t="str"/>
      <x:c r="M28" s="46" t="n">
        <x:v>45658</x:v>
      </x:c>
      <x:c r="N28" s="34" t="str">
        <x:v>À compléter</x:v>
      </x:c>
      <x:c r="O28" t="str"/>
    </x:row>
    <x:row r="29">
      <x:c r="A29" s="20" t="str">
        <x:v>0096A</x:v>
      </x:c>
      <x:c r="B29" s="40" t="n">
        <x:v>0</x:v>
      </x:c>
      <x:c r="C29" s="40" t="n">
        <x:v>0</x:v>
      </x:c>
      <x:c r="D29" s="40" t="n">
        <x:v>1</x:v>
      </x:c>
      <x:c r="E29" s="40" t="n">
        <x:v>1</x:v>
      </x:c>
      <x:c r="F29" s="40" t="n">
        <x:v>1</x:v>
      </x:c>
      <x:c r="G29" s="40" t="n">
        <x:v>0</x:v>
      </x:c>
      <x:c r="H29" s="40" t="n">
        <x:v>0</x:v>
      </x:c>
      <x:c r="I29" s="40" t="n">
        <x:v>0</x:v>
      </x:c>
      <x:c r="J29" s="40" t="n">
        <x:v>0</x:v>
      </x:c>
      <x:c r="K29" s="38" t="n">
        <x:v>0.02</x:v>
      </x:c>
      <x:c r="L29" s="34" t="str"/>
      <x:c r="M29" s="46" t="n">
        <x:v>45658</x:v>
      </x:c>
      <x:c r="N29" s="34" t="str">
        <x:v>À compléter</x:v>
      </x:c>
      <x:c r="O29" t="str"/>
    </x:row>
    <x:row r="30">
      <x:c r="A30" s="20" t="str">
        <x:v>0098S</x:v>
      </x:c>
      <x:c r="B30" s="40" t="n">
        <x:v>0</x:v>
      </x:c>
      <x:c r="C30" s="40" t="n">
        <x:v>0</x:v>
      </x:c>
      <x:c r="D30" s="40" t="n">
        <x:v>1</x:v>
      </x:c>
      <x:c r="E30" s="40" t="n">
        <x:v>1</x:v>
      </x:c>
      <x:c r="F30" s="40" t="n">
        <x:v>1</x:v>
      </x:c>
      <x:c r="G30" s="40" t="n">
        <x:v>0</x:v>
      </x:c>
      <x:c r="H30" s="40" t="n">
        <x:v>0</x:v>
      </x:c>
      <x:c r="I30" s="40" t="n">
        <x:v>0</x:v>
      </x:c>
      <x:c r="J30" s="40" t="n">
        <x:v>0</x:v>
      </x:c>
      <x:c r="K30" s="38" t="n">
        <x:v>0.02</x:v>
      </x:c>
      <x:c r="L30" s="34" t="str"/>
      <x:c r="M30" s="46" t="n">
        <x:v>45658</x:v>
      </x:c>
      <x:c r="N30" s="34" t="str">
        <x:v>À compléter</x:v>
      </x:c>
      <x:c r="O30" t="str"/>
    </x:row>
    <x:row r="31">
      <x:c r="A31" s="20" t="str">
        <x:v>0099O</x:v>
      </x:c>
      <x:c r="B31" s="40" t="n">
        <x:v>0</x:v>
      </x:c>
      <x:c r="C31" s="40" t="n">
        <x:v>0</x:v>
      </x:c>
      <x:c r="D31" s="40" t="n">
        <x:v>1</x:v>
      </x:c>
      <x:c r="E31" s="40" t="n">
        <x:v>1</x:v>
      </x:c>
      <x:c r="F31" s="40" t="n">
        <x:v>1</x:v>
      </x:c>
      <x:c r="G31" s="40" t="n">
        <x:v>0</x:v>
      </x:c>
      <x:c r="H31" s="40" t="n">
        <x:v>0</x:v>
      </x:c>
      <x:c r="I31" s="40" t="n">
        <x:v>0</x:v>
      </x:c>
      <x:c r="J31" s="40" t="n">
        <x:v>0</x:v>
      </x:c>
      <x:c r="K31" s="38" t="n">
        <x:v>0.02</x:v>
      </x:c>
      <x:c r="L31" s="34" t="str"/>
      <x:c r="M31" s="46" t="n">
        <x:v>45658</x:v>
      </x:c>
      <x:c r="N31" s="34" t="str">
        <x:v>À compléter</x:v>
      </x:c>
      <x:c r="O31" t="str"/>
    </x:row>
    <x:row r="32">
      <x:c r="A32" s="20" t="str">
        <x:v>0104F</x:v>
      </x:c>
      <x:c r="B32" s="40" t="n">
        <x:v>0</x:v>
      </x:c>
      <x:c r="C32" s="40" t="n">
        <x:v>0</x:v>
      </x:c>
      <x:c r="D32" s="40" t="n">
        <x:v>1</x:v>
      </x:c>
      <x:c r="E32" s="40" t="n">
        <x:v>1</x:v>
      </x:c>
      <x:c r="F32" s="40" t="n">
        <x:v>1</x:v>
      </x:c>
      <x:c r="G32" s="40" t="n">
        <x:v>0</x:v>
      </x:c>
      <x:c r="H32" s="40" t="n">
        <x:v>0</x:v>
      </x:c>
      <x:c r="I32" s="40" t="n">
        <x:v>0</x:v>
      </x:c>
      <x:c r="J32" s="40" t="n">
        <x:v>0</x:v>
      </x:c>
      <x:c r="K32" s="38" t="n">
        <x:v>0.02</x:v>
      </x:c>
      <x:c r="L32" s="34" t="str"/>
      <x:c r="M32" s="46" t="n">
        <x:v>45658</x:v>
      </x:c>
      <x:c r="N32" s="34" t="str">
        <x:v>À compléter</x:v>
      </x:c>
      <x:c r="O32" t="str"/>
    </x:row>
    <x:row r="33">
      <x:c r="A33" s="20" t="str">
        <x:v>0106J</x:v>
      </x:c>
      <x:c r="B33" s="40" t="n">
        <x:v>0</x:v>
      </x:c>
      <x:c r="C33" s="40" t="n">
        <x:v>0</x:v>
      </x:c>
      <x:c r="D33" s="40" t="n">
        <x:v>1</x:v>
      </x:c>
      <x:c r="E33" s="40" t="n">
        <x:v>1</x:v>
      </x:c>
      <x:c r="F33" s="40" t="n">
        <x:v>1</x:v>
      </x:c>
      <x:c r="G33" s="40" t="n">
        <x:v>0</x:v>
      </x:c>
      <x:c r="H33" s="40" t="n">
        <x:v>0</x:v>
      </x:c>
      <x:c r="I33" s="40" t="n">
        <x:v>0</x:v>
      </x:c>
      <x:c r="J33" s="40" t="n">
        <x:v>0</x:v>
      </x:c>
      <x:c r="K33" s="38" t="n">
        <x:v>0.02</x:v>
      </x:c>
      <x:c r="L33" s="34" t="str"/>
      <x:c r="M33" s="46" t="n">
        <x:v>45658</x:v>
      </x:c>
      <x:c r="N33" s="34" t="str">
        <x:v>À compléter</x:v>
      </x:c>
      <x:c r="O33" t="str"/>
    </x:row>
    <x:row r="34">
      <x:c r="A34" s="20" t="str">
        <x:v>0107J</x:v>
      </x:c>
      <x:c r="B34" s="40" t="n">
        <x:v>0</x:v>
      </x:c>
      <x:c r="C34" s="40" t="n">
        <x:v>0</x:v>
      </x:c>
      <x:c r="D34" s="40" t="n">
        <x:v>1</x:v>
      </x:c>
      <x:c r="E34" s="40" t="n">
        <x:v>1</x:v>
      </x:c>
      <x:c r="F34" s="40" t="n">
        <x:v>1</x:v>
      </x:c>
      <x:c r="G34" s="40" t="n">
        <x:v>0</x:v>
      </x:c>
      <x:c r="H34" s="40" t="n">
        <x:v>0</x:v>
      </x:c>
      <x:c r="I34" s="40" t="n">
        <x:v>0</x:v>
      </x:c>
      <x:c r="J34" s="40" t="n">
        <x:v>0</x:v>
      </x:c>
      <x:c r="K34" s="38" t="n">
        <x:v>0.02</x:v>
      </x:c>
      <x:c r="L34" s="34" t="str"/>
      <x:c r="M34" s="46" t="n">
        <x:v>45658</x:v>
      </x:c>
      <x:c r="N34" s="34" t="str">
        <x:v>À compléter</x:v>
      </x:c>
      <x:c r="O34" t="str"/>
    </x:row>
    <x:row r="35">
      <x:c r="A35" s="20" t="str">
        <x:v>0108J</x:v>
      </x:c>
      <x:c r="B35" s="40" t="n">
        <x:v>0</x:v>
      </x:c>
      <x:c r="C35" s="40" t="n">
        <x:v>0</x:v>
      </x:c>
      <x:c r="D35" s="40" t="n">
        <x:v>1</x:v>
      </x:c>
      <x:c r="E35" s="40" t="n">
        <x:v>1</x:v>
      </x:c>
      <x:c r="F35" s="40" t="n">
        <x:v>1</x:v>
      </x:c>
      <x:c r="G35" s="40" t="n">
        <x:v>0</x:v>
      </x:c>
      <x:c r="H35" s="40" t="n">
        <x:v>0</x:v>
      </x:c>
      <x:c r="I35" s="40" t="n">
        <x:v>0</x:v>
      </x:c>
      <x:c r="J35" s="40" t="n">
        <x:v>0</x:v>
      </x:c>
      <x:c r="K35" s="38" t="n">
        <x:v>0.02</x:v>
      </x:c>
      <x:c r="L35" s="34" t="str"/>
      <x:c r="M35" s="46" t="n">
        <x:v>45658</x:v>
      </x:c>
      <x:c r="N35" s="34" t="str">
        <x:v>À compléter</x:v>
      </x:c>
      <x:c r="O35" t="str"/>
    </x:row>
    <x:row r="36">
      <x:c r="A36" s="20" t="str">
        <x:v>0111A</x:v>
      </x:c>
      <x:c r="B36" s="40" t="n">
        <x:v>0</x:v>
      </x:c>
      <x:c r="C36" s="40" t="n">
        <x:v>0</x:v>
      </x:c>
      <x:c r="D36" s="40" t="n">
        <x:v>1</x:v>
      </x:c>
      <x:c r="E36" s="40" t="n">
        <x:v>1</x:v>
      </x:c>
      <x:c r="F36" s="40" t="n">
        <x:v>1</x:v>
      </x:c>
      <x:c r="G36" s="40" t="n">
        <x:v>0</x:v>
      </x:c>
      <x:c r="H36" s="40" t="n">
        <x:v>0</x:v>
      </x:c>
      <x:c r="I36" s="40" t="n">
        <x:v>0</x:v>
      </x:c>
      <x:c r="J36" s="40" t="n">
        <x:v>0</x:v>
      </x:c>
      <x:c r="K36" s="38" t="n">
        <x:v>0.02</x:v>
      </x:c>
      <x:c r="L36" s="34" t="str"/>
      <x:c r="M36" s="46" t="n">
        <x:v>45658</x:v>
      </x:c>
      <x:c r="N36" s="34" t="str">
        <x:v>À compléter</x:v>
      </x:c>
      <x:c r="O36" t="str"/>
    </x:row>
  </x:sheetData>
  <x:dataValidations count="2">
    <x:dataValidation type="list" sqref="D2:D36">
      <x:formula1>"1,1.5,2,2.5,3,3.5,4,4.5,5"</x:formula1>
    </x:dataValidation>
    <x:dataValidation type="list" sqref="N2:N36">
      <x:formula1>"À compléter,Test validé,Validé,Suspendu"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d3f61fc7664a2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2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24" hidden="0" customWidth="1"/>
    <x:col min="49" max="49" width="24" hidden="0" customWidth="1"/>
  </x:cols>
  <x:sheetData>
    <x:row r="1">
      <x:c r="A1" s="14" t="str">
        <x:v>Matricule</x:v>
      </x:c>
      <x:c r="B1" s="14" t="str">
        <x:v>Nom</x:v>
      </x:c>
      <x:c r="C1" s="14" t="str">
        <x:v>Prénom</x:v>
      </x:c>
      <x:c r="D1" s="14" t="str">
        <x:v>Direction</x:v>
      </x:c>
      <x:c r="E1" s="14" t="str">
        <x:v>Département/Service</x:v>
      </x:c>
      <x:c r="F1" s="14" t="str">
        <x:v>Poste</x:v>
      </x:c>
      <x:c r="G1" s="14" t="str">
        <x:v>Type contrat</x:v>
      </x:c>
      <x:c r="H1" s="14" t="str">
        <x:v>Statut RH</x:v>
      </x:c>
      <x:c r="I1" s="14" t="str">
        <x:v>Date entrée</x:v>
      </x:c>
      <x:c r="J1" s="14" t="str">
        <x:v>Matricule CNPS</x:v>
      </x:c>
      <x:c r="K1" s="14" t="str">
        <x:v>Salaire de base</x:v>
      </x:c>
      <x:c r="L1" s="14" t="str">
        <x:v>Sursalaire</x:v>
      </x:c>
      <x:c r="M1" s="14" t="str">
        <x:v>Parts IGR</x:v>
      </x:c>
      <x:c r="N1" s="14" t="str">
        <x:v>Pers. CMU salarié</x:v>
      </x:c>
      <x:c r="O1" s="14" t="str">
        <x:v>Pers. CMU employeur</x:v>
      </x:c>
      <x:c r="P1" s="14" t="str">
        <x:v>Transport versé</x:v>
      </x:c>
      <x:c r="Q1" s="14" t="str">
        <x:v>Primes imposables</x:v>
      </x:c>
      <x:c r="R1" s="14" t="str">
        <x:v>Avantages imposables</x:v>
      </x:c>
      <x:c r="S1" s="14" t="str">
        <x:v>Autres indemn. non imposables</x:v>
      </x:c>
      <x:c r="T1" s="14" t="str">
        <x:v>Taux AT</x:v>
      </x:c>
      <x:c r="U1" s="14" t="str">
        <x:v>Ancienneté années</x:v>
      </x:c>
      <x:c r="V1" s="14" t="str">
        <x:v>Ancienneté affichée</x:v>
      </x:c>
      <x:c r="W1" s="14" t="str">
        <x:v>Taux ancienneté</x:v>
      </x:c>
      <x:c r="X1" s="14" t="str">
        <x:v>Prime ancienneté</x:v>
      </x:c>
      <x:c r="Y1" s="14" t="str">
        <x:v>Transport non imposable</x:v>
      </x:c>
      <x:c r="Z1" s="14" t="str">
        <x:v>Transport imposable</x:v>
      </x:c>
      <x:c r="AA1" s="14" t="str">
        <x:v>Brut imposable</x:v>
      </x:c>
      <x:c r="AB1" s="14" t="str">
        <x:v>Base CNPS retraite</x:v>
      </x:c>
      <x:c r="AC1" s="14" t="str">
        <x:v>CNPS salarié</x:v>
      </x:c>
      <x:c r="AD1" s="14" t="str">
        <x:v>CMU salarié</x:v>
      </x:c>
      <x:c r="AE1" s="14" t="str">
        <x:v>RICF</x:v>
      </x:c>
      <x:c r="AF1" s="14" t="str">
        <x:v>ITS</x:v>
      </x:c>
      <x:c r="AG1" s="14" t="str">
        <x:v>Total retenues salarié</x:v>
      </x:c>
      <x:c r="AH1" s="14" t="str">
        <x:v>CNPS employeur</x:v>
      </x:c>
      <x:c r="AI1" s="14" t="str">
        <x:v>Prestations familiales</x:v>
      </x:c>
      <x:c r="AJ1" s="14" t="str">
        <x:v>Accident travail</x:v>
      </x:c>
      <x:c r="AK1" s="14" t="str">
        <x:v>Assurance maternité</x:v>
      </x:c>
      <x:c r="AL1" s="14" t="str">
        <x:v>CMU employeur</x:v>
      </x:c>
      <x:c r="AM1" s="14" t="str">
        <x:v>I.S. employeur local</x:v>
      </x:c>
      <x:c r="AN1" s="14" t="str">
        <x:v>Taxe apprentissage</x:v>
      </x:c>
      <x:c r="AO1" s="14" t="str">
        <x:v>FPC mensuelle</x:v>
      </x:c>
      <x:c r="AP1" s="14" t="str">
        <x:v>FPC fin d’année</x:v>
      </x:c>
      <x:c r="AQ1" s="14" t="str">
        <x:v>Total charges patronales</x:v>
      </x:c>
      <x:c r="AR1" s="14" t="str">
        <x:v>Total non imposable</x:v>
      </x:c>
      <x:c r="AS1" s="14" t="str">
        <x:v>Salaire brut total</x:v>
      </x:c>
      <x:c r="AT1" s="14" t="str">
        <x:v>Net à payer</x:v>
      </x:c>
      <x:c r="AU1" s="14" t="str">
        <x:v>Coût total employeur</x:v>
      </x:c>
      <x:c r="AV1" s="14" t="str">
        <x:v>Statut contrôle</x:v>
      </x:c>
      <x:c r="AW1" s="14" t="str">
        <x:v>Voir bulletin</x:v>
      </x:c>
    </x:row>
    <x:row r="2">
      <x:c r="A2" s="25" t="str">
        <x:v>0103F</x:v>
      </x:c>
      <x:c r="B2" s="25" t="str">
        <x:v>ZOCLI</x:v>
      </x:c>
      <x:c r="C2" s="25" t="str">
        <x:v>Kouessi Christian Ernest Junior</x:v>
      </x:c>
      <x:c r="D2" s="25" t="str">
        <x:v>Cabinet de la Direction Exécutive</x:v>
      </x:c>
      <x:c r="E2" s="25" t="str">
        <x:v>Cabinet DEX</x:v>
      </x:c>
      <x:c r="F2" s="25" t="str">
        <x:v>Resp. Conformité Performance</x:v>
      </x:c>
      <x:c r="G2" s="25" t="str">
        <x:v>CDD</x:v>
      </x:c>
      <x:c r="H2" s="25" t="str">
        <x:v>Actif</x:v>
      </x:c>
      <x:c r="I2" s="54" t="n">
        <x:v>45341</x:v>
      </x:c>
      <x:c r="J2" s="25" t="n">
        <x:v>202400033605</x:v>
      </x:c>
      <x:c r="K2" s="64" t="n">
        <x:f>IFERROR(INDEX(Profils_Paie!$B:$B,MATCH($A2,Profils_Paie!$A:$A,0)),0)</x:f>
        <x:v>0</x:v>
      </x:c>
      <x:c r="L2" s="64" t="n">
        <x:f>IFERROR(INDEX(Profils_Paie!$C:$C,MATCH($A2,Profils_Paie!$A:$A,0)),0)</x:f>
        <x:v>0</x:v>
      </x:c>
      <x:c r="M2" s="25" t="n">
        <x:f>IFERROR(INDEX(Profils_Paie!$D:$D,MATCH($A2,Profils_Paie!$A:$A,0)),0)</x:f>
        <x:v>1</x:v>
      </x:c>
      <x:c r="N2" s="25" t="n">
        <x:f>IFERROR(INDEX(Profils_Paie!$E:$E,MATCH($A2,Profils_Paie!$A:$A,0)),0)</x:f>
        <x:v>1</x:v>
      </x:c>
      <x:c r="O2" s="25" t="n">
        <x:f>IFERROR(INDEX(Profils_Paie!$F:$F,MATCH($A2,Profils_Paie!$A:$A,0)),0)</x:f>
        <x:v>1</x:v>
      </x:c>
      <x:c r="P2" s="64" t="n">
        <x:f>IFERROR(INDEX(Profils_Paie!$G:$G,MATCH($A2,Profils_Paie!$A:$A,0)),0)</x:f>
        <x:v>0</x:v>
      </x:c>
      <x:c r="Q2" s="64" t="n">
        <x:f>IFERROR(INDEX(Profils_Paie!$H:$H,MATCH($A2,Profils_Paie!$A:$A,0)),0)</x:f>
        <x:v>0</x:v>
      </x:c>
      <x:c r="R2" s="64" t="n">
        <x:f>IFERROR(INDEX(Profils_Paie!$I:$I,MATCH($A2,Profils_Paie!$A:$A,0)),0)</x:f>
        <x:v>0</x:v>
      </x:c>
      <x:c r="S2" s="64" t="n">
        <x:f>IFERROR(INDEX(Profils_Paie!$J:$J,MATCH($A2,Profils_Paie!$A:$A,0)),0)</x:f>
        <x:v>0</x:v>
      </x:c>
      <x:c r="T2" s="66" t="n">
        <x:f>IFERROR(INDEX(Profils_Paie!$K:$K,MATCH($A2,Profils_Paie!$A:$A,0)),0)</x:f>
        <x:v>0.02</x:v>
      </x:c>
      <x:c r="U2" s="25" t="n">
        <x:f>IFERROR(INT((Parametres_Paie!$B$24-I2)/365.25),0)</x:f>
        <x:v>0</x:v>
      </x:c>
      <x:c r="V2" s="25" t="str">
        <x:f>IF(I2="","",U2&amp;" ans (calcul période)")</x:f>
        <x:v>0 ans (calcul période)</x:v>
      </x:c>
      <x:c r="W2" s="66" t="n">
        <x:f>IF(U2&lt;2,0,MIN(U2,25)/100)</x:f>
        <x:v>0</x:v>
      </x:c>
      <x:c r="X2" s="64" t="n">
        <x:f>ROUND(K2*W2,0)</x:f>
        <x:v>0</x:v>
      </x:c>
      <x:c r="Y2" s="64" t="n">
        <x:f>MIN(P2,Parametres_Paie!$B$11)</x:f>
        <x:v>0</x:v>
      </x:c>
      <x:c r="Z2" s="64" t="n">
        <x:f>MAX(P2-Parametres_Paie!$B$11,0)</x:f>
        <x:v>0</x:v>
      </x:c>
      <x:c r="AA2" s="64" t="n">
        <x:f>ROUND(K2+L2+X2+Q2+R2+Z2,0)</x:f>
        <x:v>0</x:v>
      </x:c>
      <x:c r="AB2" s="64" t="n">
        <x:f>IFERROR(IF(INDEX(Profils_Paie!$L:$L,MATCH($A2,Profils_Paie!$A:$A,0))="",MIN(AA2,Parametres_Paie!$B$6),MIN(INDEX(Profils_Paie!$L:$L,MATCH($A2,Profils_Paie!$A:$A,0)),Parametres_Paie!$B$6)),MIN(AA2,Parametres_Paie!$B$6))</x:f>
        <x:v>0</x:v>
      </x:c>
      <x:c r="AC2" s="64" t="n">
        <x:f>ROUND(AB2*Parametres_Paie!$B$4,0)</x:f>
        <x:v>0</x:v>
      </x:c>
      <x:c r="AD2" s="64" t="n">
        <x:f>IF(AA2&gt;0,ROUND(N2*Parametres_Paie!$B$12*Parametres_Paie!$B$13,0),0)</x:f>
        <x:v>0</x:v>
      </x:c>
      <x:c r="AE2" s="64" t="n">
        <x:f>IFERROR(INDEX(Parametres_Paie!$G$4:$G$12,MATCH(M2,Parametres_Paie!$F$4:$F$12,0)),0)</x:f>
        <x:v>0</x:v>
      </x:c>
      <x:c r="AF2" s="64" t="n">
        <x:f>ROUND(MAX(0,MAX(MIN(AA2,Parametres_Paie!$K$4)-Parametres_Paie!$J$4,0)*Parametres_Paie!$L$4+MAX(MIN(AA2,Parametres_Paie!$K$5)-Parametres_Paie!$J$5,0)*Parametres_Paie!$L$5+MAX(MIN(AA2,Parametres_Paie!$K$6)-Parametres_Paie!$J$6,0)*Parametres_Paie!$L$6+MAX(MIN(AA2,Parametres_Paie!$K$7)-Parametres_Paie!$J$7,0)*Parametres_Paie!$L$7+MAX(MIN(AA2,Parametres_Paie!$K$8)-Parametres_Paie!$J$8,0)*Parametres_Paie!$L$8+MAX(MIN(AA2,Parametres_Paie!$K$9)-Parametres_Paie!$J$9,0)*Parametres_Paie!$L$9-AE2),0)</x:f>
        <x:v>0</x:v>
      </x:c>
      <x:c r="AG2" s="64" t="n">
        <x:f>AC2+AD2+AF2</x:f>
        <x:v>0</x:v>
      </x:c>
      <x:c r="AH2" s="64" t="n">
        <x:f>ROUND(AB2*Parametres_Paie!$B$5,0)</x:f>
        <x:v>0</x:v>
      </x:c>
      <x:c r="AI2" s="64" t="n">
        <x:f>IF(AA2&gt;0,ROUND(Parametres_Paie!$B$7*Parametres_Paie!$B$8,0),0)</x:f>
        <x:v>0</x:v>
      </x:c>
      <x:c r="AJ2" s="64" t="n">
        <x:f>IF(AA2&gt;0,ROUND(Parametres_Paie!$B$7*T2,0),0)</x:f>
        <x:v>0</x:v>
      </x:c>
      <x:c r="AK2" s="64" t="n">
        <x:f>IF(AA2&gt;0,ROUND(Parametres_Paie!$B$7*Parametres_Paie!$B$9,0),0)</x:f>
        <x:v>0</x:v>
      </x:c>
      <x:c r="AL2" s="64" t="n">
        <x:f>IF(AA2&gt;0,ROUND(O2*Parametres_Paie!$B$12*Parametres_Paie!$B$14,0),0)</x:f>
        <x:v>0</x:v>
      </x:c>
      <x:c r="AM2" s="64" t="n">
        <x:f>ROUND(AA2*Parametres_Paie!$B$15,0)</x:f>
        <x:v>0</x:v>
      </x:c>
      <x:c r="AN2" s="64" t="n">
        <x:f>ROUND(AA2*Parametres_Paie!$B$16,0)</x:f>
        <x:v>0</x:v>
      </x:c>
      <x:c r="AO2" s="64" t="n">
        <x:f>ROUND(AA2*Parametres_Paie!$B$17,0)</x:f>
        <x:v>0</x:v>
      </x:c>
      <x:c r="AP2" s="64" t="n">
        <x:f>ROUND(AA2*Parametres_Paie!$B$18,0)</x:f>
        <x:v>0</x:v>
      </x:c>
      <x:c r="AQ2" s="64" t="n">
        <x:f>AH2+AI2+AJ2+AK2+AL2+AM2+AN2+AO2+AP2</x:f>
        <x:v>0</x:v>
      </x:c>
      <x:c r="AR2" s="64" t="n">
        <x:f>Y2+S2</x:f>
        <x:v>0</x:v>
      </x:c>
      <x:c r="AS2" s="64" t="n">
        <x:f>AA2+AR2</x:f>
        <x:v>0</x:v>
      </x:c>
      <x:c r="AT2" s="64" t="n">
        <x:f>AS2-AG2</x:f>
        <x:v>0</x:v>
      </x:c>
      <x:c r="AU2" s="64" t="n">
        <x:f>AS2+AQ2</x:f>
        <x:v>0</x:v>
      </x:c>
      <x:c r="AV2" s="25" t="str">
        <x:f>IF(H2&lt;&gt;"Actif","Inactif/à vérifier",IF(K2=0,"Profil paie à compléter",IF(J2="","CNPS manquant","OK")))</x:f>
        <x:v>Profil paie à compléter</x:v>
      </x:c>
      <x:c r="AW2" s="25" t="str">
        <x:f>IFERROR(HYPERLINK("#'Bulletins_Impression'!A"&amp;MATCH(A2,Bulletins_Impression!$B:$B,0),"Voir bulletin"),"Voir bulletin")</x:f>
        <x:v>Voir bulletin</x:v>
      </x:c>
    </x:row>
    <x:row r="3">
      <x:c r="A3" s="25" t="str">
        <x:v>0085N</x:v>
      </x:c>
      <x:c r="B3" s="25" t="str">
        <x:v>DANKOULOU</x:v>
      </x:c>
      <x:c r="C3" s="25" t="str">
        <x:v>KHADY YASMINA</x:v>
      </x:c>
      <x:c r="D3" s="25" t="str">
        <x:v>Direction des Services aux Membres et des Programmes</x:v>
      </x:c>
      <x:c r="E3" s="25" t="str">
        <x:v>DMS</x:v>
      </x:c>
      <x:c r="F3" s="25" t="str">
        <x:v>Assistante DMS</x:v>
      </x:c>
      <x:c r="G3" s="25" t="str">
        <x:v>CDI</x:v>
      </x:c>
      <x:c r="H3" s="25" t="str">
        <x:v>Actif</x:v>
      </x:c>
      <x:c r="I3" s="54" t="n">
        <x:v>44873</x:v>
      </x:c>
      <x:c r="J3" s="25" t="n">
        <x:v>202300058236</x:v>
      </x:c>
      <x:c r="K3" s="64" t="n">
        <x:f>IFERROR(INDEX(Profils_Paie!$B:$B,MATCH($A3,Profils_Paie!$A:$A,0)),0)</x:f>
        <x:v>0</x:v>
      </x:c>
      <x:c r="L3" s="64" t="n">
        <x:f>IFERROR(INDEX(Profils_Paie!$C:$C,MATCH($A3,Profils_Paie!$A:$A,0)),0)</x:f>
        <x:v>0</x:v>
      </x:c>
      <x:c r="M3" s="25" t="n">
        <x:f>IFERROR(INDEX(Profils_Paie!$D:$D,MATCH($A3,Profils_Paie!$A:$A,0)),0)</x:f>
        <x:v>1</x:v>
      </x:c>
      <x:c r="N3" s="25" t="n">
        <x:f>IFERROR(INDEX(Profils_Paie!$E:$E,MATCH($A3,Profils_Paie!$A:$A,0)),0)</x:f>
        <x:v>1</x:v>
      </x:c>
      <x:c r="O3" s="25" t="n">
        <x:f>IFERROR(INDEX(Profils_Paie!$F:$F,MATCH($A3,Profils_Paie!$A:$A,0)),0)</x:f>
        <x:v>1</x:v>
      </x:c>
      <x:c r="P3" s="64" t="n">
        <x:f>IFERROR(INDEX(Profils_Paie!$G:$G,MATCH($A3,Profils_Paie!$A:$A,0)),0)</x:f>
        <x:v>0</x:v>
      </x:c>
      <x:c r="Q3" s="64" t="n">
        <x:f>IFERROR(INDEX(Profils_Paie!$H:$H,MATCH($A3,Profils_Paie!$A:$A,0)),0)</x:f>
        <x:v>0</x:v>
      </x:c>
      <x:c r="R3" s="64" t="n">
        <x:f>IFERROR(INDEX(Profils_Paie!$I:$I,MATCH($A3,Profils_Paie!$A:$A,0)),0)</x:f>
        <x:v>0</x:v>
      </x:c>
      <x:c r="S3" s="64" t="n">
        <x:f>IFERROR(INDEX(Profils_Paie!$J:$J,MATCH($A3,Profils_Paie!$A:$A,0)),0)</x:f>
        <x:v>0</x:v>
      </x:c>
      <x:c r="T3" s="66" t="n">
        <x:f>IFERROR(INDEX(Profils_Paie!$K:$K,MATCH($A3,Profils_Paie!$A:$A,0)),0)</x:f>
        <x:v>0.02</x:v>
      </x:c>
      <x:c r="U3" s="25" t="n">
        <x:f>IFERROR(INT((Parametres_Paie!$B$24-I3)/365.25),0)</x:f>
        <x:v>2</x:v>
      </x:c>
      <x:c r="V3" s="25" t="str">
        <x:f>IF(I3="","",U3&amp;" ans (calcul période)")</x:f>
        <x:v>2 ans (calcul période)</x:v>
      </x:c>
      <x:c r="W3" s="66" t="n">
        <x:f>IF(U3&lt;2,0,MIN(U3,25)/100)</x:f>
        <x:v>0.02</x:v>
      </x:c>
      <x:c r="X3" s="64" t="n">
        <x:f>ROUND(K3*W3,0)</x:f>
        <x:v>0</x:v>
      </x:c>
      <x:c r="Y3" s="64" t="n">
        <x:f>MIN(P3,Parametres_Paie!$B$11)</x:f>
        <x:v>0</x:v>
      </x:c>
      <x:c r="Z3" s="64" t="n">
        <x:f>MAX(P3-Parametres_Paie!$B$11,0)</x:f>
        <x:v>0</x:v>
      </x:c>
      <x:c r="AA3" s="64" t="n">
        <x:f>ROUND(K3+L3+X3+Q3+R3+Z3,0)</x:f>
        <x:v>0</x:v>
      </x:c>
      <x:c r="AB3" s="64" t="n">
        <x:f>IFERROR(IF(INDEX(Profils_Paie!$L:$L,MATCH($A3,Profils_Paie!$A:$A,0))="",MIN(AA3,Parametres_Paie!$B$6),MIN(INDEX(Profils_Paie!$L:$L,MATCH($A3,Profils_Paie!$A:$A,0)),Parametres_Paie!$B$6)),MIN(AA3,Parametres_Paie!$B$6))</x:f>
        <x:v>0</x:v>
      </x:c>
      <x:c r="AC3" s="64" t="n">
        <x:f>ROUND(AB3*Parametres_Paie!$B$4,0)</x:f>
        <x:v>0</x:v>
      </x:c>
      <x:c r="AD3" s="64" t="n">
        <x:f>IF(AA3&gt;0,ROUND(N3*Parametres_Paie!$B$12*Parametres_Paie!$B$13,0),0)</x:f>
        <x:v>0</x:v>
      </x:c>
      <x:c r="AE3" s="64" t="n">
        <x:f>IFERROR(INDEX(Parametres_Paie!$G$4:$G$12,MATCH(M3,Parametres_Paie!$F$4:$F$12,0)),0)</x:f>
        <x:v>0</x:v>
      </x:c>
      <x:c r="AF3" s="64" t="n">
        <x:f>ROUND(MAX(0,MAX(MIN(AA3,Parametres_Paie!$K$4)-Parametres_Paie!$J$4,0)*Parametres_Paie!$L$4+MAX(MIN(AA3,Parametres_Paie!$K$5)-Parametres_Paie!$J$5,0)*Parametres_Paie!$L$5+MAX(MIN(AA3,Parametres_Paie!$K$6)-Parametres_Paie!$J$6,0)*Parametres_Paie!$L$6+MAX(MIN(AA3,Parametres_Paie!$K$7)-Parametres_Paie!$J$7,0)*Parametres_Paie!$L$7+MAX(MIN(AA3,Parametres_Paie!$K$8)-Parametres_Paie!$J$8,0)*Parametres_Paie!$L$8+MAX(MIN(AA3,Parametres_Paie!$K$9)-Parametres_Paie!$J$9,0)*Parametres_Paie!$L$9-AE3),0)</x:f>
        <x:v>0</x:v>
      </x:c>
      <x:c r="AG3" s="64" t="n">
        <x:f>AC3+AD3+AF3</x:f>
        <x:v>0</x:v>
      </x:c>
      <x:c r="AH3" s="64" t="n">
        <x:f>ROUND(AB3*Parametres_Paie!$B$5,0)</x:f>
        <x:v>0</x:v>
      </x:c>
      <x:c r="AI3" s="64" t="n">
        <x:f>IF(AA3&gt;0,ROUND(Parametres_Paie!$B$7*Parametres_Paie!$B$8,0),0)</x:f>
        <x:v>0</x:v>
      </x:c>
      <x:c r="AJ3" s="64" t="n">
        <x:f>IF(AA3&gt;0,ROUND(Parametres_Paie!$B$7*T3,0),0)</x:f>
        <x:v>0</x:v>
      </x:c>
      <x:c r="AK3" s="64" t="n">
        <x:f>IF(AA3&gt;0,ROUND(Parametres_Paie!$B$7*Parametres_Paie!$B$9,0),0)</x:f>
        <x:v>0</x:v>
      </x:c>
      <x:c r="AL3" s="64" t="n">
        <x:f>IF(AA3&gt;0,ROUND(O3*Parametres_Paie!$B$12*Parametres_Paie!$B$14,0),0)</x:f>
        <x:v>0</x:v>
      </x:c>
      <x:c r="AM3" s="64" t="n">
        <x:f>ROUND(AA3*Parametres_Paie!$B$15,0)</x:f>
        <x:v>0</x:v>
      </x:c>
      <x:c r="AN3" s="64" t="n">
        <x:f>ROUND(AA3*Parametres_Paie!$B$16,0)</x:f>
        <x:v>0</x:v>
      </x:c>
      <x:c r="AO3" s="64" t="n">
        <x:f>ROUND(AA3*Parametres_Paie!$B$17,0)</x:f>
        <x:v>0</x:v>
      </x:c>
      <x:c r="AP3" s="64" t="n">
        <x:f>ROUND(AA3*Parametres_Paie!$B$18,0)</x:f>
        <x:v>0</x:v>
      </x:c>
      <x:c r="AQ3" s="64" t="n">
        <x:f>AH3+AI3+AJ3+AK3+AL3+AM3+AN3+AO3+AP3</x:f>
        <x:v>0</x:v>
      </x:c>
      <x:c r="AR3" s="64" t="n">
        <x:f>Y3+S3</x:f>
        <x:v>0</x:v>
      </x:c>
      <x:c r="AS3" s="64" t="n">
        <x:f>AA3+AR3</x:f>
        <x:v>0</x:v>
      </x:c>
      <x:c r="AT3" s="64" t="n">
        <x:f>AS3-AG3</x:f>
        <x:v>0</x:v>
      </x:c>
      <x:c r="AU3" s="64" t="n">
        <x:f>AS3+AQ3</x:f>
        <x:v>0</x:v>
      </x:c>
      <x:c r="AV3" s="25" t="str">
        <x:f>IF(H3&lt;&gt;"Actif","Inactif/à vérifier",IF(K3=0,"Profil paie à compléter",IF(J3="","CNPS manquant","OK")))</x:f>
        <x:v>Profil paie à compléter</x:v>
      </x:c>
      <x:c r="AW3" s="25" t="str">
        <x:f>IFERROR(HYPERLINK("#'Bulletins_Impression'!A"&amp;MATCH(A3,Bulletins_Impression!$B:$B,0),"Voir bulletin"),"Voir bulletin")</x:f>
        <x:v>Voir bulletin</x:v>
      </x:c>
    </x:row>
    <x:row r="4">
      <x:c r="A4" s="25" t="str">
        <x:v>0008D</x:v>
      </x:c>
      <x:c r="B4" s="25" t="str">
        <x:v>KOFFI</x:v>
      </x:c>
      <x:c r="C4" s="25" t="str">
        <x:v>Mathieu Kouakou</x:v>
      </x:c>
      <x:c r="D4" s="25" t="str">
        <x:v>Direction Administrative et Financière</x:v>
      </x:c>
      <x:c r="E4" s="25" t="str">
        <x:v>DAF</x:v>
      </x:c>
      <x:c r="F4" s="25" t="str">
        <x:v>Agent Administratif</x:v>
      </x:c>
      <x:c r="G4" s="25" t="str">
        <x:v>CDI</x:v>
      </x:c>
      <x:c r="H4" s="25" t="str">
        <x:v>Actif</x:v>
      </x:c>
      <x:c r="I4" s="54" t="n">
        <x:v>36392</x:v>
      </x:c>
      <x:c r="J4" s="25" t="n">
        <x:v>169019927028</x:v>
      </x:c>
      <x:c r="K4" s="64" t="n">
        <x:f>IFERROR(INDEX(Profils_Paie!$B:$B,MATCH($A4,Profils_Paie!$A:$A,0)),0)</x:f>
        <x:v>0</x:v>
      </x:c>
      <x:c r="L4" s="64" t="n">
        <x:f>IFERROR(INDEX(Profils_Paie!$C:$C,MATCH($A4,Profils_Paie!$A:$A,0)),0)</x:f>
        <x:v>0</x:v>
      </x:c>
      <x:c r="M4" s="25" t="n">
        <x:f>IFERROR(INDEX(Profils_Paie!$D:$D,MATCH($A4,Profils_Paie!$A:$A,0)),0)</x:f>
        <x:v>1</x:v>
      </x:c>
      <x:c r="N4" s="25" t="n">
        <x:f>IFERROR(INDEX(Profils_Paie!$E:$E,MATCH($A4,Profils_Paie!$A:$A,0)),0)</x:f>
        <x:v>1</x:v>
      </x:c>
      <x:c r="O4" s="25" t="n">
        <x:f>IFERROR(INDEX(Profils_Paie!$F:$F,MATCH($A4,Profils_Paie!$A:$A,0)),0)</x:f>
        <x:v>1</x:v>
      </x:c>
      <x:c r="P4" s="64" t="n">
        <x:f>IFERROR(INDEX(Profils_Paie!$G:$G,MATCH($A4,Profils_Paie!$A:$A,0)),0)</x:f>
        <x:v>0</x:v>
      </x:c>
      <x:c r="Q4" s="64" t="n">
        <x:f>IFERROR(INDEX(Profils_Paie!$H:$H,MATCH($A4,Profils_Paie!$A:$A,0)),0)</x:f>
        <x:v>0</x:v>
      </x:c>
      <x:c r="R4" s="64" t="n">
        <x:f>IFERROR(INDEX(Profils_Paie!$I:$I,MATCH($A4,Profils_Paie!$A:$A,0)),0)</x:f>
        <x:v>0</x:v>
      </x:c>
      <x:c r="S4" s="64" t="n">
        <x:f>IFERROR(INDEX(Profils_Paie!$J:$J,MATCH($A4,Profils_Paie!$A:$A,0)),0)</x:f>
        <x:v>0</x:v>
      </x:c>
      <x:c r="T4" s="66" t="n">
        <x:f>IFERROR(INDEX(Profils_Paie!$K:$K,MATCH($A4,Profils_Paie!$A:$A,0)),0)</x:f>
        <x:v>0.02</x:v>
      </x:c>
      <x:c r="U4" s="25" t="n">
        <x:f>IFERROR(INT((Parametres_Paie!$B$24-I4)/365.25),0)</x:f>
        <x:v>25</x:v>
      </x:c>
      <x:c r="V4" s="25" t="str">
        <x:f>IF(I4="","",U4&amp;" ans (calcul période)")</x:f>
        <x:v>25 ans (calcul période)</x:v>
      </x:c>
      <x:c r="W4" s="66" t="n">
        <x:f>IF(U4&lt;2,0,MIN(U4,25)/100)</x:f>
        <x:v>0.25</x:v>
      </x:c>
      <x:c r="X4" s="64" t="n">
        <x:f>ROUND(K4*W4,0)</x:f>
        <x:v>0</x:v>
      </x:c>
      <x:c r="Y4" s="64" t="n">
        <x:f>MIN(P4,Parametres_Paie!$B$11)</x:f>
        <x:v>0</x:v>
      </x:c>
      <x:c r="Z4" s="64" t="n">
        <x:f>MAX(P4-Parametres_Paie!$B$11,0)</x:f>
        <x:v>0</x:v>
      </x:c>
      <x:c r="AA4" s="64" t="n">
        <x:f>ROUND(K4+L4+X4+Q4+R4+Z4,0)</x:f>
        <x:v>0</x:v>
      </x:c>
      <x:c r="AB4" s="64" t="n">
        <x:f>IFERROR(IF(INDEX(Profils_Paie!$L:$L,MATCH($A4,Profils_Paie!$A:$A,0))="",MIN(AA4,Parametres_Paie!$B$6),MIN(INDEX(Profils_Paie!$L:$L,MATCH($A4,Profils_Paie!$A:$A,0)),Parametres_Paie!$B$6)),MIN(AA4,Parametres_Paie!$B$6))</x:f>
        <x:v>0</x:v>
      </x:c>
      <x:c r="AC4" s="64" t="n">
        <x:f>ROUND(AB4*Parametres_Paie!$B$4,0)</x:f>
        <x:v>0</x:v>
      </x:c>
      <x:c r="AD4" s="64" t="n">
        <x:f>IF(AA4&gt;0,ROUND(N4*Parametres_Paie!$B$12*Parametres_Paie!$B$13,0),0)</x:f>
        <x:v>0</x:v>
      </x:c>
      <x:c r="AE4" s="64" t="n">
        <x:f>IFERROR(INDEX(Parametres_Paie!$G$4:$G$12,MATCH(M4,Parametres_Paie!$F$4:$F$12,0)),0)</x:f>
        <x:v>0</x:v>
      </x:c>
      <x:c r="AF4" s="64" t="n">
        <x:f>ROUND(MAX(0,MAX(MIN(AA4,Parametres_Paie!$K$4)-Parametres_Paie!$J$4,0)*Parametres_Paie!$L$4+MAX(MIN(AA4,Parametres_Paie!$K$5)-Parametres_Paie!$J$5,0)*Parametres_Paie!$L$5+MAX(MIN(AA4,Parametres_Paie!$K$6)-Parametres_Paie!$J$6,0)*Parametres_Paie!$L$6+MAX(MIN(AA4,Parametres_Paie!$K$7)-Parametres_Paie!$J$7,0)*Parametres_Paie!$L$7+MAX(MIN(AA4,Parametres_Paie!$K$8)-Parametres_Paie!$J$8,0)*Parametres_Paie!$L$8+MAX(MIN(AA4,Parametres_Paie!$K$9)-Parametres_Paie!$J$9,0)*Parametres_Paie!$L$9-AE4),0)</x:f>
        <x:v>0</x:v>
      </x:c>
      <x:c r="AG4" s="64" t="n">
        <x:f>AC4+AD4+AF4</x:f>
        <x:v>0</x:v>
      </x:c>
      <x:c r="AH4" s="64" t="n">
        <x:f>ROUND(AB4*Parametres_Paie!$B$5,0)</x:f>
        <x:v>0</x:v>
      </x:c>
      <x:c r="AI4" s="64" t="n">
        <x:f>IF(AA4&gt;0,ROUND(Parametres_Paie!$B$7*Parametres_Paie!$B$8,0),0)</x:f>
        <x:v>0</x:v>
      </x:c>
      <x:c r="AJ4" s="64" t="n">
        <x:f>IF(AA4&gt;0,ROUND(Parametres_Paie!$B$7*T4,0),0)</x:f>
        <x:v>0</x:v>
      </x:c>
      <x:c r="AK4" s="64" t="n">
        <x:f>IF(AA4&gt;0,ROUND(Parametres_Paie!$B$7*Parametres_Paie!$B$9,0),0)</x:f>
        <x:v>0</x:v>
      </x:c>
      <x:c r="AL4" s="64" t="n">
        <x:f>IF(AA4&gt;0,ROUND(O4*Parametres_Paie!$B$12*Parametres_Paie!$B$14,0),0)</x:f>
        <x:v>0</x:v>
      </x:c>
      <x:c r="AM4" s="64" t="n">
        <x:f>ROUND(AA4*Parametres_Paie!$B$15,0)</x:f>
        <x:v>0</x:v>
      </x:c>
      <x:c r="AN4" s="64" t="n">
        <x:f>ROUND(AA4*Parametres_Paie!$B$16,0)</x:f>
        <x:v>0</x:v>
      </x:c>
      <x:c r="AO4" s="64" t="n">
        <x:f>ROUND(AA4*Parametres_Paie!$B$17,0)</x:f>
        <x:v>0</x:v>
      </x:c>
      <x:c r="AP4" s="64" t="n">
        <x:f>ROUND(AA4*Parametres_Paie!$B$18,0)</x:f>
        <x:v>0</x:v>
      </x:c>
      <x:c r="AQ4" s="64" t="n">
        <x:f>AH4+AI4+AJ4+AK4+AL4+AM4+AN4+AO4+AP4</x:f>
        <x:v>0</x:v>
      </x:c>
      <x:c r="AR4" s="64" t="n">
        <x:f>Y4+S4</x:f>
        <x:v>0</x:v>
      </x:c>
      <x:c r="AS4" s="64" t="n">
        <x:f>AA4+AR4</x:f>
        <x:v>0</x:v>
      </x:c>
      <x:c r="AT4" s="64" t="n">
        <x:f>AS4-AG4</x:f>
        <x:v>0</x:v>
      </x:c>
      <x:c r="AU4" s="64" t="n">
        <x:f>AS4+AQ4</x:f>
        <x:v>0</x:v>
      </x:c>
      <x:c r="AV4" s="25" t="str">
        <x:f>IF(H4&lt;&gt;"Actif","Inactif/à vérifier",IF(K4=0,"Profil paie à compléter",IF(J4="","CNPS manquant","OK")))</x:f>
        <x:v>Profil paie à compléter</x:v>
      </x:c>
      <x:c r="AW4" s="25" t="str">
        <x:f>IFERROR(HYPERLINK("#'Bulletins_Impression'!A"&amp;MATCH(A4,Bulletins_Impression!$B:$B,0),"Voir bulletin"),"Voir bulletin")</x:f>
        <x:v>Voir bulletin</x:v>
      </x:c>
    </x:row>
    <x:row r="5">
      <x:c r="A5" s="25" t="str">
        <x:v>0009A</x:v>
      </x:c>
      <x:c r="B5" s="25" t="str">
        <x:v>DIGBEU</x:v>
      </x:c>
      <x:c r="C5" s="25" t="str">
        <x:v>Aimé Kaloua</x:v>
      </x:c>
      <x:c r="D5" s="25" t="str">
        <x:v>Direction des Services aux Membres et des Programmes</x:v>
      </x:c>
      <x:c r="E5" s="25" t="str">
        <x:v>DMS</x:v>
      </x:c>
      <x:c r="F5" s="25" t="str">
        <x:v>Responsable Exposition</x:v>
      </x:c>
      <x:c r="G5" s="25" t="str">
        <x:v>CDI</x:v>
      </x:c>
      <x:c r="H5" s="25" t="str">
        <x:v>Actif</x:v>
      </x:c>
      <x:c r="I5" s="54" t="n">
        <x:v>39264</x:v>
      </x:c>
      <x:c r="J5" s="25" t="n">
        <x:v>167019400391</x:v>
      </x:c>
      <x:c r="K5" s="64" t="n">
        <x:f>IFERROR(INDEX(Profils_Paie!$B:$B,MATCH($A5,Profils_Paie!$A:$A,0)),0)</x:f>
        <x:v>0</x:v>
      </x:c>
      <x:c r="L5" s="64" t="n">
        <x:f>IFERROR(INDEX(Profils_Paie!$C:$C,MATCH($A5,Profils_Paie!$A:$A,0)),0)</x:f>
        <x:v>0</x:v>
      </x:c>
      <x:c r="M5" s="25" t="n">
        <x:f>IFERROR(INDEX(Profils_Paie!$D:$D,MATCH($A5,Profils_Paie!$A:$A,0)),0)</x:f>
        <x:v>1</x:v>
      </x:c>
      <x:c r="N5" s="25" t="n">
        <x:f>IFERROR(INDEX(Profils_Paie!$E:$E,MATCH($A5,Profils_Paie!$A:$A,0)),0)</x:f>
        <x:v>1</x:v>
      </x:c>
      <x:c r="O5" s="25" t="n">
        <x:f>IFERROR(INDEX(Profils_Paie!$F:$F,MATCH($A5,Profils_Paie!$A:$A,0)),0)</x:f>
        <x:v>1</x:v>
      </x:c>
      <x:c r="P5" s="64" t="n">
        <x:f>IFERROR(INDEX(Profils_Paie!$G:$G,MATCH($A5,Profils_Paie!$A:$A,0)),0)</x:f>
        <x:v>0</x:v>
      </x:c>
      <x:c r="Q5" s="64" t="n">
        <x:f>IFERROR(INDEX(Profils_Paie!$H:$H,MATCH($A5,Profils_Paie!$A:$A,0)),0)</x:f>
        <x:v>0</x:v>
      </x:c>
      <x:c r="R5" s="64" t="n">
        <x:f>IFERROR(INDEX(Profils_Paie!$I:$I,MATCH($A5,Profils_Paie!$A:$A,0)),0)</x:f>
        <x:v>0</x:v>
      </x:c>
      <x:c r="S5" s="64" t="n">
        <x:f>IFERROR(INDEX(Profils_Paie!$J:$J,MATCH($A5,Profils_Paie!$A:$A,0)),0)</x:f>
        <x:v>0</x:v>
      </x:c>
      <x:c r="T5" s="66" t="n">
        <x:f>IFERROR(INDEX(Profils_Paie!$K:$K,MATCH($A5,Profils_Paie!$A:$A,0)),0)</x:f>
        <x:v>0.02</x:v>
      </x:c>
      <x:c r="U5" s="25" t="n">
        <x:f>IFERROR(INT((Parametres_Paie!$B$24-I5)/365.25),0)</x:f>
        <x:v>17</x:v>
      </x:c>
      <x:c r="V5" s="25" t="str">
        <x:f>IF(I5="","",U5&amp;" ans (calcul période)")</x:f>
        <x:v>17 ans (calcul période)</x:v>
      </x:c>
      <x:c r="W5" s="66" t="n">
        <x:f>IF(U5&lt;2,0,MIN(U5,25)/100)</x:f>
        <x:v>0.17</x:v>
      </x:c>
      <x:c r="X5" s="64" t="n">
        <x:f>ROUND(K5*W5,0)</x:f>
        <x:v>0</x:v>
      </x:c>
      <x:c r="Y5" s="64" t="n">
        <x:f>MIN(P5,Parametres_Paie!$B$11)</x:f>
        <x:v>0</x:v>
      </x:c>
      <x:c r="Z5" s="64" t="n">
        <x:f>MAX(P5-Parametres_Paie!$B$11,0)</x:f>
        <x:v>0</x:v>
      </x:c>
      <x:c r="AA5" s="64" t="n">
        <x:f>ROUND(K5+L5+X5+Q5+R5+Z5,0)</x:f>
        <x:v>0</x:v>
      </x:c>
      <x:c r="AB5" s="64" t="n">
        <x:f>IFERROR(IF(INDEX(Profils_Paie!$L:$L,MATCH($A5,Profils_Paie!$A:$A,0))="",MIN(AA5,Parametres_Paie!$B$6),MIN(INDEX(Profils_Paie!$L:$L,MATCH($A5,Profils_Paie!$A:$A,0)),Parametres_Paie!$B$6)),MIN(AA5,Parametres_Paie!$B$6))</x:f>
        <x:v>0</x:v>
      </x:c>
      <x:c r="AC5" s="64" t="n">
        <x:f>ROUND(AB5*Parametres_Paie!$B$4,0)</x:f>
        <x:v>0</x:v>
      </x:c>
      <x:c r="AD5" s="64" t="n">
        <x:f>IF(AA5&gt;0,ROUND(N5*Parametres_Paie!$B$12*Parametres_Paie!$B$13,0),0)</x:f>
        <x:v>0</x:v>
      </x:c>
      <x:c r="AE5" s="64" t="n">
        <x:f>IFERROR(INDEX(Parametres_Paie!$G$4:$G$12,MATCH(M5,Parametres_Paie!$F$4:$F$12,0)),0)</x:f>
        <x:v>0</x:v>
      </x:c>
      <x:c r="AF5" s="64" t="n">
        <x:f>ROUND(MAX(0,MAX(MIN(AA5,Parametres_Paie!$K$4)-Parametres_Paie!$J$4,0)*Parametres_Paie!$L$4+MAX(MIN(AA5,Parametres_Paie!$K$5)-Parametres_Paie!$J$5,0)*Parametres_Paie!$L$5+MAX(MIN(AA5,Parametres_Paie!$K$6)-Parametres_Paie!$J$6,0)*Parametres_Paie!$L$6+MAX(MIN(AA5,Parametres_Paie!$K$7)-Parametres_Paie!$J$7,0)*Parametres_Paie!$L$7+MAX(MIN(AA5,Parametres_Paie!$K$8)-Parametres_Paie!$J$8,0)*Parametres_Paie!$L$8+MAX(MIN(AA5,Parametres_Paie!$K$9)-Parametres_Paie!$J$9,0)*Parametres_Paie!$L$9-AE5),0)</x:f>
        <x:v>0</x:v>
      </x:c>
      <x:c r="AG5" s="64" t="n">
        <x:f>AC5+AD5+AF5</x:f>
        <x:v>0</x:v>
      </x:c>
      <x:c r="AH5" s="64" t="n">
        <x:f>ROUND(AB5*Parametres_Paie!$B$5,0)</x:f>
        <x:v>0</x:v>
      </x:c>
      <x:c r="AI5" s="64" t="n">
        <x:f>IF(AA5&gt;0,ROUND(Parametres_Paie!$B$7*Parametres_Paie!$B$8,0),0)</x:f>
        <x:v>0</x:v>
      </x:c>
      <x:c r="AJ5" s="64" t="n">
        <x:f>IF(AA5&gt;0,ROUND(Parametres_Paie!$B$7*T5,0),0)</x:f>
        <x:v>0</x:v>
      </x:c>
      <x:c r="AK5" s="64" t="n">
        <x:f>IF(AA5&gt;0,ROUND(Parametres_Paie!$B$7*Parametres_Paie!$B$9,0),0)</x:f>
        <x:v>0</x:v>
      </x:c>
      <x:c r="AL5" s="64" t="n">
        <x:f>IF(AA5&gt;0,ROUND(O5*Parametres_Paie!$B$12*Parametres_Paie!$B$14,0),0)</x:f>
        <x:v>0</x:v>
      </x:c>
      <x:c r="AM5" s="64" t="n">
        <x:f>ROUND(AA5*Parametres_Paie!$B$15,0)</x:f>
        <x:v>0</x:v>
      </x:c>
      <x:c r="AN5" s="64" t="n">
        <x:f>ROUND(AA5*Parametres_Paie!$B$16,0)</x:f>
        <x:v>0</x:v>
      </x:c>
      <x:c r="AO5" s="64" t="n">
        <x:f>ROUND(AA5*Parametres_Paie!$B$17,0)</x:f>
        <x:v>0</x:v>
      </x:c>
      <x:c r="AP5" s="64" t="n">
        <x:f>ROUND(AA5*Parametres_Paie!$B$18,0)</x:f>
        <x:v>0</x:v>
      </x:c>
      <x:c r="AQ5" s="64" t="n">
        <x:f>AH5+AI5+AJ5+AK5+AL5+AM5+AN5+AO5+AP5</x:f>
        <x:v>0</x:v>
      </x:c>
      <x:c r="AR5" s="64" t="n">
        <x:f>Y5+S5</x:f>
        <x:v>0</x:v>
      </x:c>
      <x:c r="AS5" s="64" t="n">
        <x:f>AA5+AR5</x:f>
        <x:v>0</x:v>
      </x:c>
      <x:c r="AT5" s="64" t="n">
        <x:f>AS5-AG5</x:f>
        <x:v>0</x:v>
      </x:c>
      <x:c r="AU5" s="64" t="n">
        <x:f>AS5+AQ5</x:f>
        <x:v>0</x:v>
      </x:c>
      <x:c r="AV5" s="25" t="str">
        <x:f>IF(H5&lt;&gt;"Actif","Inactif/à vérifier",IF(K5=0,"Profil paie à compléter",IF(J5="","CNPS manquant","OK")))</x:f>
        <x:v>Profil paie à compléter</x:v>
      </x:c>
      <x:c r="AW5" s="25" t="str">
        <x:f>IFERROR(HYPERLINK("#'Bulletins_Impression'!A"&amp;MATCH(A5,Bulletins_Impression!$B:$B,0),"Voir bulletin"),"Voir bulletin")</x:f>
        <x:v>Voir bulletin</x:v>
      </x:c>
    </x:row>
    <x:row r="6">
      <x:c r="A6" s="25" t="str">
        <x:v>0010H</x:v>
      </x:c>
      <x:c r="B6" s="25" t="str">
        <x:v>ASSIENIN</x:v>
      </x:c>
      <x:c r="C6" s="25" t="str">
        <x:v>Aya Corine Sylvie</x:v>
      </x:c>
      <x:c r="D6" s="25" t="str">
        <x:v>Direction Administrative et Financière</x:v>
      </x:c>
      <x:c r="E6" s="25" t="str">
        <x:v>DAF</x:v>
      </x:c>
      <x:c r="F6" s="25" t="str">
        <x:v>Assistante Ressources Humaines</x:v>
      </x:c>
      <x:c r="G6" s="25" t="str">
        <x:v>CDI</x:v>
      </x:c>
      <x:c r="H6" s="25" t="str">
        <x:v>Actif</x:v>
      </x:c>
      <x:c r="I6" s="54" t="n">
        <x:v>38169</x:v>
      </x:c>
      <x:c r="J6" s="25" t="n">
        <x:v>279010525990</x:v>
      </x:c>
      <x:c r="K6" s="64" t="n">
        <x:f>IFERROR(INDEX(Profils_Paie!$B:$B,MATCH($A6,Profils_Paie!$A:$A,0)),0)</x:f>
        <x:v>0</x:v>
      </x:c>
      <x:c r="L6" s="64" t="n">
        <x:f>IFERROR(INDEX(Profils_Paie!$C:$C,MATCH($A6,Profils_Paie!$A:$A,0)),0)</x:f>
        <x:v>0</x:v>
      </x:c>
      <x:c r="M6" s="25" t="n">
        <x:f>IFERROR(INDEX(Profils_Paie!$D:$D,MATCH($A6,Profils_Paie!$A:$A,0)),0)</x:f>
        <x:v>1</x:v>
      </x:c>
      <x:c r="N6" s="25" t="n">
        <x:f>IFERROR(INDEX(Profils_Paie!$E:$E,MATCH($A6,Profils_Paie!$A:$A,0)),0)</x:f>
        <x:v>1</x:v>
      </x:c>
      <x:c r="O6" s="25" t="n">
        <x:f>IFERROR(INDEX(Profils_Paie!$F:$F,MATCH($A6,Profils_Paie!$A:$A,0)),0)</x:f>
        <x:v>1</x:v>
      </x:c>
      <x:c r="P6" s="64" t="n">
        <x:f>IFERROR(INDEX(Profils_Paie!$G:$G,MATCH($A6,Profils_Paie!$A:$A,0)),0)</x:f>
        <x:v>0</x:v>
      </x:c>
      <x:c r="Q6" s="64" t="n">
        <x:f>IFERROR(INDEX(Profils_Paie!$H:$H,MATCH($A6,Profils_Paie!$A:$A,0)),0)</x:f>
        <x:v>0</x:v>
      </x:c>
      <x:c r="R6" s="64" t="n">
        <x:f>IFERROR(INDEX(Profils_Paie!$I:$I,MATCH($A6,Profils_Paie!$A:$A,0)),0)</x:f>
        <x:v>0</x:v>
      </x:c>
      <x:c r="S6" s="64" t="n">
        <x:f>IFERROR(INDEX(Profils_Paie!$J:$J,MATCH($A6,Profils_Paie!$A:$A,0)),0)</x:f>
        <x:v>0</x:v>
      </x:c>
      <x:c r="T6" s="66" t="n">
        <x:f>IFERROR(INDEX(Profils_Paie!$K:$K,MATCH($A6,Profils_Paie!$A:$A,0)),0)</x:f>
        <x:v>0.02</x:v>
      </x:c>
      <x:c r="U6" s="25" t="n">
        <x:f>IFERROR(INT((Parametres_Paie!$B$24-I6)/365.25),0)</x:f>
        <x:v>20</x:v>
      </x:c>
      <x:c r="V6" s="25" t="str">
        <x:f>IF(I6="","",U6&amp;" ans (calcul période)")</x:f>
        <x:v>20 ans (calcul période)</x:v>
      </x:c>
      <x:c r="W6" s="66" t="n">
        <x:f>IF(U6&lt;2,0,MIN(U6,25)/100)</x:f>
        <x:v>0.2</x:v>
      </x:c>
      <x:c r="X6" s="64" t="n">
        <x:f>ROUND(K6*W6,0)</x:f>
        <x:v>0</x:v>
      </x:c>
      <x:c r="Y6" s="64" t="n">
        <x:f>MIN(P6,Parametres_Paie!$B$11)</x:f>
        <x:v>0</x:v>
      </x:c>
      <x:c r="Z6" s="64" t="n">
        <x:f>MAX(P6-Parametres_Paie!$B$11,0)</x:f>
        <x:v>0</x:v>
      </x:c>
      <x:c r="AA6" s="64" t="n">
        <x:f>ROUND(K6+L6+X6+Q6+R6+Z6,0)</x:f>
        <x:v>0</x:v>
      </x:c>
      <x:c r="AB6" s="64" t="n">
        <x:f>IFERROR(IF(INDEX(Profils_Paie!$L:$L,MATCH($A6,Profils_Paie!$A:$A,0))="",MIN(AA6,Parametres_Paie!$B$6),MIN(INDEX(Profils_Paie!$L:$L,MATCH($A6,Profils_Paie!$A:$A,0)),Parametres_Paie!$B$6)),MIN(AA6,Parametres_Paie!$B$6))</x:f>
        <x:v>0</x:v>
      </x:c>
      <x:c r="AC6" s="64" t="n">
        <x:f>ROUND(AB6*Parametres_Paie!$B$4,0)</x:f>
        <x:v>0</x:v>
      </x:c>
      <x:c r="AD6" s="64" t="n">
        <x:f>IF(AA6&gt;0,ROUND(N6*Parametres_Paie!$B$12*Parametres_Paie!$B$13,0),0)</x:f>
        <x:v>0</x:v>
      </x:c>
      <x:c r="AE6" s="64" t="n">
        <x:f>IFERROR(INDEX(Parametres_Paie!$G$4:$G$12,MATCH(M6,Parametres_Paie!$F$4:$F$12,0)),0)</x:f>
        <x:v>0</x:v>
      </x:c>
      <x:c r="AF6" s="64" t="n">
        <x:f>ROUND(MAX(0,MAX(MIN(AA6,Parametres_Paie!$K$4)-Parametres_Paie!$J$4,0)*Parametres_Paie!$L$4+MAX(MIN(AA6,Parametres_Paie!$K$5)-Parametres_Paie!$J$5,0)*Parametres_Paie!$L$5+MAX(MIN(AA6,Parametres_Paie!$K$6)-Parametres_Paie!$J$6,0)*Parametres_Paie!$L$6+MAX(MIN(AA6,Parametres_Paie!$K$7)-Parametres_Paie!$J$7,0)*Parametres_Paie!$L$7+MAX(MIN(AA6,Parametres_Paie!$K$8)-Parametres_Paie!$J$8,0)*Parametres_Paie!$L$8+MAX(MIN(AA6,Parametres_Paie!$K$9)-Parametres_Paie!$J$9,0)*Parametres_Paie!$L$9-AE6),0)</x:f>
        <x:v>0</x:v>
      </x:c>
      <x:c r="AG6" s="64" t="n">
        <x:f>AC6+AD6+AF6</x:f>
        <x:v>0</x:v>
      </x:c>
      <x:c r="AH6" s="64" t="n">
        <x:f>ROUND(AB6*Parametres_Paie!$B$5,0)</x:f>
        <x:v>0</x:v>
      </x:c>
      <x:c r="AI6" s="64" t="n">
        <x:f>IF(AA6&gt;0,ROUND(Parametres_Paie!$B$7*Parametres_Paie!$B$8,0),0)</x:f>
        <x:v>0</x:v>
      </x:c>
      <x:c r="AJ6" s="64" t="n">
        <x:f>IF(AA6&gt;0,ROUND(Parametres_Paie!$B$7*T6,0),0)</x:f>
        <x:v>0</x:v>
      </x:c>
      <x:c r="AK6" s="64" t="n">
        <x:f>IF(AA6&gt;0,ROUND(Parametres_Paie!$B$7*Parametres_Paie!$B$9,0),0)</x:f>
        <x:v>0</x:v>
      </x:c>
      <x:c r="AL6" s="64" t="n">
        <x:f>IF(AA6&gt;0,ROUND(O6*Parametres_Paie!$B$12*Parametres_Paie!$B$14,0),0)</x:f>
        <x:v>0</x:v>
      </x:c>
      <x:c r="AM6" s="64" t="n">
        <x:f>ROUND(AA6*Parametres_Paie!$B$15,0)</x:f>
        <x:v>0</x:v>
      </x:c>
      <x:c r="AN6" s="64" t="n">
        <x:f>ROUND(AA6*Parametres_Paie!$B$16,0)</x:f>
        <x:v>0</x:v>
      </x:c>
      <x:c r="AO6" s="64" t="n">
        <x:f>ROUND(AA6*Parametres_Paie!$B$17,0)</x:f>
        <x:v>0</x:v>
      </x:c>
      <x:c r="AP6" s="64" t="n">
        <x:f>ROUND(AA6*Parametres_Paie!$B$18,0)</x:f>
        <x:v>0</x:v>
      </x:c>
      <x:c r="AQ6" s="64" t="n">
        <x:f>AH6+AI6+AJ6+AK6+AL6+AM6+AN6+AO6+AP6</x:f>
        <x:v>0</x:v>
      </x:c>
      <x:c r="AR6" s="64" t="n">
        <x:f>Y6+S6</x:f>
        <x:v>0</x:v>
      </x:c>
      <x:c r="AS6" s="64" t="n">
        <x:f>AA6+AR6</x:f>
        <x:v>0</x:v>
      </x:c>
      <x:c r="AT6" s="64" t="n">
        <x:f>AS6-AG6</x:f>
        <x:v>0</x:v>
      </x:c>
      <x:c r="AU6" s="64" t="n">
        <x:f>AS6+AQ6</x:f>
        <x:v>0</x:v>
      </x:c>
      <x:c r="AV6" s="25" t="str">
        <x:f>IF(H6&lt;&gt;"Actif","Inactif/à vérifier",IF(K6=0,"Profil paie à compléter",IF(J6="","CNPS manquant","OK")))</x:f>
        <x:v>Profil paie à compléter</x:v>
      </x:c>
      <x:c r="AW6" s="25" t="str">
        <x:f>IFERROR(HYPERLINK("#'Bulletins_Impression'!A"&amp;MATCH(A6,Bulletins_Impression!$B:$B,0),"Voir bulletin"),"Voir bulletin")</x:f>
        <x:v>Voir bulletin</x:v>
      </x:c>
    </x:row>
    <x:row r="7">
      <x:c r="A7" s="25" t="str">
        <x:v>0014D</x:v>
      </x:c>
      <x:c r="B7" s="25" t="str">
        <x:v>N’GUESSAN KOFFI</x:v>
      </x:c>
      <x:c r="C7" s="25" t="str">
        <x:v>Sonia</x:v>
      </x:c>
      <x:c r="D7" s="25" t="str">
        <x:v>Direction Administrative et Financière</x:v>
      </x:c>
      <x:c r="E7" s="25" t="str">
        <x:v>DAF</x:v>
      </x:c>
      <x:c r="F7" s="25" t="str">
        <x:v>Responsable Comptable &amp; Financier</x:v>
      </x:c>
      <x:c r="G7" s="25" t="str">
        <x:v>CDI</x:v>
      </x:c>
      <x:c r="H7" s="25" t="str">
        <x:v>Actif</x:v>
      </x:c>
      <x:c r="I7" s="54" t="n">
        <x:v>41640</x:v>
      </x:c>
      <x:c r="J7" s="25" t="n">
        <x:v>289011438025</x:v>
      </x:c>
      <x:c r="K7" s="64" t="n">
        <x:f>IFERROR(INDEX(Profils_Paie!$B:$B,MATCH($A7,Profils_Paie!$A:$A,0)),0)</x:f>
        <x:v>0</x:v>
      </x:c>
      <x:c r="L7" s="64" t="n">
        <x:f>IFERROR(INDEX(Profils_Paie!$C:$C,MATCH($A7,Profils_Paie!$A:$A,0)),0)</x:f>
        <x:v>0</x:v>
      </x:c>
      <x:c r="M7" s="25" t="n">
        <x:f>IFERROR(INDEX(Profils_Paie!$D:$D,MATCH($A7,Profils_Paie!$A:$A,0)),0)</x:f>
        <x:v>1</x:v>
      </x:c>
      <x:c r="N7" s="25" t="n">
        <x:f>IFERROR(INDEX(Profils_Paie!$E:$E,MATCH($A7,Profils_Paie!$A:$A,0)),0)</x:f>
        <x:v>1</x:v>
      </x:c>
      <x:c r="O7" s="25" t="n">
        <x:f>IFERROR(INDEX(Profils_Paie!$F:$F,MATCH($A7,Profils_Paie!$A:$A,0)),0)</x:f>
        <x:v>1</x:v>
      </x:c>
      <x:c r="P7" s="64" t="n">
        <x:f>IFERROR(INDEX(Profils_Paie!$G:$G,MATCH($A7,Profils_Paie!$A:$A,0)),0)</x:f>
        <x:v>0</x:v>
      </x:c>
      <x:c r="Q7" s="64" t="n">
        <x:f>IFERROR(INDEX(Profils_Paie!$H:$H,MATCH($A7,Profils_Paie!$A:$A,0)),0)</x:f>
        <x:v>0</x:v>
      </x:c>
      <x:c r="R7" s="64" t="n">
        <x:f>IFERROR(INDEX(Profils_Paie!$I:$I,MATCH($A7,Profils_Paie!$A:$A,0)),0)</x:f>
        <x:v>0</x:v>
      </x:c>
      <x:c r="S7" s="64" t="n">
        <x:f>IFERROR(INDEX(Profils_Paie!$J:$J,MATCH($A7,Profils_Paie!$A:$A,0)),0)</x:f>
        <x:v>0</x:v>
      </x:c>
      <x:c r="T7" s="66" t="n">
        <x:f>IFERROR(INDEX(Profils_Paie!$K:$K,MATCH($A7,Profils_Paie!$A:$A,0)),0)</x:f>
        <x:v>0.02</x:v>
      </x:c>
      <x:c r="U7" s="25" t="n">
        <x:f>IFERROR(INT((Parametres_Paie!$B$24-I7)/365.25),0)</x:f>
        <x:v>11</x:v>
      </x:c>
      <x:c r="V7" s="25" t="str">
        <x:f>IF(I7="","",U7&amp;" ans (calcul période)")</x:f>
        <x:v>11 ans (calcul période)</x:v>
      </x:c>
      <x:c r="W7" s="66" t="n">
        <x:f>IF(U7&lt;2,0,MIN(U7,25)/100)</x:f>
        <x:v>0.11</x:v>
      </x:c>
      <x:c r="X7" s="64" t="n">
        <x:f>ROUND(K7*W7,0)</x:f>
        <x:v>0</x:v>
      </x:c>
      <x:c r="Y7" s="64" t="n">
        <x:f>MIN(P7,Parametres_Paie!$B$11)</x:f>
        <x:v>0</x:v>
      </x:c>
      <x:c r="Z7" s="64" t="n">
        <x:f>MAX(P7-Parametres_Paie!$B$11,0)</x:f>
        <x:v>0</x:v>
      </x:c>
      <x:c r="AA7" s="64" t="n">
        <x:f>ROUND(K7+L7+X7+Q7+R7+Z7,0)</x:f>
        <x:v>0</x:v>
      </x:c>
      <x:c r="AB7" s="64" t="n">
        <x:f>IFERROR(IF(INDEX(Profils_Paie!$L:$L,MATCH($A7,Profils_Paie!$A:$A,0))="",MIN(AA7,Parametres_Paie!$B$6),MIN(INDEX(Profils_Paie!$L:$L,MATCH($A7,Profils_Paie!$A:$A,0)),Parametres_Paie!$B$6)),MIN(AA7,Parametres_Paie!$B$6))</x:f>
        <x:v>0</x:v>
      </x:c>
      <x:c r="AC7" s="64" t="n">
        <x:f>ROUND(AB7*Parametres_Paie!$B$4,0)</x:f>
        <x:v>0</x:v>
      </x:c>
      <x:c r="AD7" s="64" t="n">
        <x:f>IF(AA7&gt;0,ROUND(N7*Parametres_Paie!$B$12*Parametres_Paie!$B$13,0),0)</x:f>
        <x:v>0</x:v>
      </x:c>
      <x:c r="AE7" s="64" t="n">
        <x:f>IFERROR(INDEX(Parametres_Paie!$G$4:$G$12,MATCH(M7,Parametres_Paie!$F$4:$F$12,0)),0)</x:f>
        <x:v>0</x:v>
      </x:c>
      <x:c r="AF7" s="64" t="n">
        <x:f>ROUND(MAX(0,MAX(MIN(AA7,Parametres_Paie!$K$4)-Parametres_Paie!$J$4,0)*Parametres_Paie!$L$4+MAX(MIN(AA7,Parametres_Paie!$K$5)-Parametres_Paie!$J$5,0)*Parametres_Paie!$L$5+MAX(MIN(AA7,Parametres_Paie!$K$6)-Parametres_Paie!$J$6,0)*Parametres_Paie!$L$6+MAX(MIN(AA7,Parametres_Paie!$K$7)-Parametres_Paie!$J$7,0)*Parametres_Paie!$L$7+MAX(MIN(AA7,Parametres_Paie!$K$8)-Parametres_Paie!$J$8,0)*Parametres_Paie!$L$8+MAX(MIN(AA7,Parametres_Paie!$K$9)-Parametres_Paie!$J$9,0)*Parametres_Paie!$L$9-AE7),0)</x:f>
        <x:v>0</x:v>
      </x:c>
      <x:c r="AG7" s="64" t="n">
        <x:f>AC7+AD7+AF7</x:f>
        <x:v>0</x:v>
      </x:c>
      <x:c r="AH7" s="64" t="n">
        <x:f>ROUND(AB7*Parametres_Paie!$B$5,0)</x:f>
        <x:v>0</x:v>
      </x:c>
      <x:c r="AI7" s="64" t="n">
        <x:f>IF(AA7&gt;0,ROUND(Parametres_Paie!$B$7*Parametres_Paie!$B$8,0),0)</x:f>
        <x:v>0</x:v>
      </x:c>
      <x:c r="AJ7" s="64" t="n">
        <x:f>IF(AA7&gt;0,ROUND(Parametres_Paie!$B$7*T7,0),0)</x:f>
        <x:v>0</x:v>
      </x:c>
      <x:c r="AK7" s="64" t="n">
        <x:f>IF(AA7&gt;0,ROUND(Parametres_Paie!$B$7*Parametres_Paie!$B$9,0),0)</x:f>
        <x:v>0</x:v>
      </x:c>
      <x:c r="AL7" s="64" t="n">
        <x:f>IF(AA7&gt;0,ROUND(O7*Parametres_Paie!$B$12*Parametres_Paie!$B$14,0),0)</x:f>
        <x:v>0</x:v>
      </x:c>
      <x:c r="AM7" s="64" t="n">
        <x:f>ROUND(AA7*Parametres_Paie!$B$15,0)</x:f>
        <x:v>0</x:v>
      </x:c>
      <x:c r="AN7" s="64" t="n">
        <x:f>ROUND(AA7*Parametres_Paie!$B$16,0)</x:f>
        <x:v>0</x:v>
      </x:c>
      <x:c r="AO7" s="64" t="n">
        <x:f>ROUND(AA7*Parametres_Paie!$B$17,0)</x:f>
        <x:v>0</x:v>
      </x:c>
      <x:c r="AP7" s="64" t="n">
        <x:f>ROUND(AA7*Parametres_Paie!$B$18,0)</x:f>
        <x:v>0</x:v>
      </x:c>
      <x:c r="AQ7" s="64" t="n">
        <x:f>AH7+AI7+AJ7+AK7+AL7+AM7+AN7+AO7+AP7</x:f>
        <x:v>0</x:v>
      </x:c>
      <x:c r="AR7" s="64" t="n">
        <x:f>Y7+S7</x:f>
        <x:v>0</x:v>
      </x:c>
      <x:c r="AS7" s="64" t="n">
        <x:f>AA7+AR7</x:f>
        <x:v>0</x:v>
      </x:c>
      <x:c r="AT7" s="64" t="n">
        <x:f>AS7-AG7</x:f>
        <x:v>0</x:v>
      </x:c>
      <x:c r="AU7" s="64" t="n">
        <x:f>AS7+AQ7</x:f>
        <x:v>0</x:v>
      </x:c>
      <x:c r="AV7" s="25" t="str">
        <x:f>IF(H7&lt;&gt;"Actif","Inactif/à vérifier",IF(K7=0,"Profil paie à compléter",IF(J7="","CNPS manquant","OK")))</x:f>
        <x:v>Profil paie à compléter</x:v>
      </x:c>
      <x:c r="AW7" s="25" t="str">
        <x:f>IFERROR(HYPERLINK("#'Bulletins_Impression'!A"&amp;MATCH(A7,Bulletins_Impression!$B:$B,0),"Voir bulletin"),"Voir bulletin")</x:f>
        <x:v>Voir bulletin</x:v>
      </x:c>
    </x:row>
    <x:row r="8">
      <x:c r="A8" s="25" t="str">
        <x:v>0017F</x:v>
      </x:c>
      <x:c r="B8" s="25" t="str">
        <x:v>KENFACK</x:v>
      </x:c>
      <x:c r="C8" s="25" t="str">
        <x:v>Siméon</x:v>
      </x:c>
      <x:c r="D8" s="25" t="str">
        <x:v>Direction des Services aux Membres et des Programmes</x:v>
      </x:c>
      <x:c r="E8" s="25" t="str">
        <x:v>DP</x:v>
      </x:c>
      <x:c r="F8" s="25" t="str">
        <x:v>Directeur Programmes et du Développement Professionnel</x:v>
      </x:c>
      <x:c r="G8" s="25" t="str">
        <x:v>CDI</x:v>
      </x:c>
      <x:c r="H8" s="25" t="str">
        <x:v>Actif</x:v>
      </x:c>
      <x:c r="I8" s="54" t="n">
        <x:v>41518</x:v>
      </x:c>
      <x:c r="J8" s="25" t="n">
        <x:v>166101882858</x:v>
      </x:c>
      <x:c r="K8" s="64" t="n">
        <x:f>IFERROR(INDEX(Profils_Paie!$B:$B,MATCH($A8,Profils_Paie!$A:$A,0)),0)</x:f>
        <x:v>0</x:v>
      </x:c>
      <x:c r="L8" s="64" t="n">
        <x:f>IFERROR(INDEX(Profils_Paie!$C:$C,MATCH($A8,Profils_Paie!$A:$A,0)),0)</x:f>
        <x:v>0</x:v>
      </x:c>
      <x:c r="M8" s="25" t="n">
        <x:f>IFERROR(INDEX(Profils_Paie!$D:$D,MATCH($A8,Profils_Paie!$A:$A,0)),0)</x:f>
        <x:v>1</x:v>
      </x:c>
      <x:c r="N8" s="25" t="n">
        <x:f>IFERROR(INDEX(Profils_Paie!$E:$E,MATCH($A8,Profils_Paie!$A:$A,0)),0)</x:f>
        <x:v>1</x:v>
      </x:c>
      <x:c r="O8" s="25" t="n">
        <x:f>IFERROR(INDEX(Profils_Paie!$F:$F,MATCH($A8,Profils_Paie!$A:$A,0)),0)</x:f>
        <x:v>1</x:v>
      </x:c>
      <x:c r="P8" s="64" t="n">
        <x:f>IFERROR(INDEX(Profils_Paie!$G:$G,MATCH($A8,Profils_Paie!$A:$A,0)),0)</x:f>
        <x:v>0</x:v>
      </x:c>
      <x:c r="Q8" s="64" t="n">
        <x:f>IFERROR(INDEX(Profils_Paie!$H:$H,MATCH($A8,Profils_Paie!$A:$A,0)),0)</x:f>
        <x:v>0</x:v>
      </x:c>
      <x:c r="R8" s="64" t="n">
        <x:f>IFERROR(INDEX(Profils_Paie!$I:$I,MATCH($A8,Profils_Paie!$A:$A,0)),0)</x:f>
        <x:v>0</x:v>
      </x:c>
      <x:c r="S8" s="64" t="n">
        <x:f>IFERROR(INDEX(Profils_Paie!$J:$J,MATCH($A8,Profils_Paie!$A:$A,0)),0)</x:f>
        <x:v>0</x:v>
      </x:c>
      <x:c r="T8" s="66" t="n">
        <x:f>IFERROR(INDEX(Profils_Paie!$K:$K,MATCH($A8,Profils_Paie!$A:$A,0)),0)</x:f>
        <x:v>0.02</x:v>
      </x:c>
      <x:c r="U8" s="25" t="n">
        <x:f>IFERROR(INT((Parametres_Paie!$B$24-I8)/365.25),0)</x:f>
        <x:v>11</x:v>
      </x:c>
      <x:c r="V8" s="25" t="str">
        <x:f>IF(I8="","",U8&amp;" ans (calcul période)")</x:f>
        <x:v>11 ans (calcul période)</x:v>
      </x:c>
      <x:c r="W8" s="66" t="n">
        <x:f>IF(U8&lt;2,0,MIN(U8,25)/100)</x:f>
        <x:v>0.11</x:v>
      </x:c>
      <x:c r="X8" s="64" t="n">
        <x:f>ROUND(K8*W8,0)</x:f>
        <x:v>0</x:v>
      </x:c>
      <x:c r="Y8" s="64" t="n">
        <x:f>MIN(P8,Parametres_Paie!$B$11)</x:f>
        <x:v>0</x:v>
      </x:c>
      <x:c r="Z8" s="64" t="n">
        <x:f>MAX(P8-Parametres_Paie!$B$11,0)</x:f>
        <x:v>0</x:v>
      </x:c>
      <x:c r="AA8" s="64" t="n">
        <x:f>ROUND(K8+L8+X8+Q8+R8+Z8,0)</x:f>
        <x:v>0</x:v>
      </x:c>
      <x:c r="AB8" s="64" t="n">
        <x:f>IFERROR(IF(INDEX(Profils_Paie!$L:$L,MATCH($A8,Profils_Paie!$A:$A,0))="",MIN(AA8,Parametres_Paie!$B$6),MIN(INDEX(Profils_Paie!$L:$L,MATCH($A8,Profils_Paie!$A:$A,0)),Parametres_Paie!$B$6)),MIN(AA8,Parametres_Paie!$B$6))</x:f>
        <x:v>0</x:v>
      </x:c>
      <x:c r="AC8" s="64" t="n">
        <x:f>ROUND(AB8*Parametres_Paie!$B$4,0)</x:f>
        <x:v>0</x:v>
      </x:c>
      <x:c r="AD8" s="64" t="n">
        <x:f>IF(AA8&gt;0,ROUND(N8*Parametres_Paie!$B$12*Parametres_Paie!$B$13,0),0)</x:f>
        <x:v>0</x:v>
      </x:c>
      <x:c r="AE8" s="64" t="n">
        <x:f>IFERROR(INDEX(Parametres_Paie!$G$4:$G$12,MATCH(M8,Parametres_Paie!$F$4:$F$12,0)),0)</x:f>
        <x:v>0</x:v>
      </x:c>
      <x:c r="AF8" s="64" t="n">
        <x:f>ROUND(MAX(0,MAX(MIN(AA8,Parametres_Paie!$K$4)-Parametres_Paie!$J$4,0)*Parametres_Paie!$L$4+MAX(MIN(AA8,Parametres_Paie!$K$5)-Parametres_Paie!$J$5,0)*Parametres_Paie!$L$5+MAX(MIN(AA8,Parametres_Paie!$K$6)-Parametres_Paie!$J$6,0)*Parametres_Paie!$L$6+MAX(MIN(AA8,Parametres_Paie!$K$7)-Parametres_Paie!$J$7,0)*Parametres_Paie!$L$7+MAX(MIN(AA8,Parametres_Paie!$K$8)-Parametres_Paie!$J$8,0)*Parametres_Paie!$L$8+MAX(MIN(AA8,Parametres_Paie!$K$9)-Parametres_Paie!$J$9,0)*Parametres_Paie!$L$9-AE8),0)</x:f>
        <x:v>0</x:v>
      </x:c>
      <x:c r="AG8" s="64" t="n">
        <x:f>AC8+AD8+AF8</x:f>
        <x:v>0</x:v>
      </x:c>
      <x:c r="AH8" s="64" t="n">
        <x:f>ROUND(AB8*Parametres_Paie!$B$5,0)</x:f>
        <x:v>0</x:v>
      </x:c>
      <x:c r="AI8" s="64" t="n">
        <x:f>IF(AA8&gt;0,ROUND(Parametres_Paie!$B$7*Parametres_Paie!$B$8,0),0)</x:f>
        <x:v>0</x:v>
      </x:c>
      <x:c r="AJ8" s="64" t="n">
        <x:f>IF(AA8&gt;0,ROUND(Parametres_Paie!$B$7*T8,0),0)</x:f>
        <x:v>0</x:v>
      </x:c>
      <x:c r="AK8" s="64" t="n">
        <x:f>IF(AA8&gt;0,ROUND(Parametres_Paie!$B$7*Parametres_Paie!$B$9,0),0)</x:f>
        <x:v>0</x:v>
      </x:c>
      <x:c r="AL8" s="64" t="n">
        <x:f>IF(AA8&gt;0,ROUND(O8*Parametres_Paie!$B$12*Parametres_Paie!$B$14,0),0)</x:f>
        <x:v>0</x:v>
      </x:c>
      <x:c r="AM8" s="64" t="n">
        <x:f>ROUND(AA8*Parametres_Paie!$B$15,0)</x:f>
        <x:v>0</x:v>
      </x:c>
      <x:c r="AN8" s="64" t="n">
        <x:f>ROUND(AA8*Parametres_Paie!$B$16,0)</x:f>
        <x:v>0</x:v>
      </x:c>
      <x:c r="AO8" s="64" t="n">
        <x:f>ROUND(AA8*Parametres_Paie!$B$17,0)</x:f>
        <x:v>0</x:v>
      </x:c>
      <x:c r="AP8" s="64" t="n">
        <x:f>ROUND(AA8*Parametres_Paie!$B$18,0)</x:f>
        <x:v>0</x:v>
      </x:c>
      <x:c r="AQ8" s="64" t="n">
        <x:f>AH8+AI8+AJ8+AK8+AL8+AM8+AN8+AO8+AP8</x:f>
        <x:v>0</x:v>
      </x:c>
      <x:c r="AR8" s="64" t="n">
        <x:f>Y8+S8</x:f>
        <x:v>0</x:v>
      </x:c>
      <x:c r="AS8" s="64" t="n">
        <x:f>AA8+AR8</x:f>
        <x:v>0</x:v>
      </x:c>
      <x:c r="AT8" s="64" t="n">
        <x:f>AS8-AG8</x:f>
        <x:v>0</x:v>
      </x:c>
      <x:c r="AU8" s="64" t="n">
        <x:f>AS8+AQ8</x:f>
        <x:v>0</x:v>
      </x:c>
      <x:c r="AV8" s="25" t="str">
        <x:f>IF(H8&lt;&gt;"Actif","Inactif/à vérifier",IF(K8=0,"Profil paie à compléter",IF(J8="","CNPS manquant","OK")))</x:f>
        <x:v>Profil paie à compléter</x:v>
      </x:c>
      <x:c r="AW8" s="25" t="str">
        <x:f>IFERROR(HYPERLINK("#'Bulletins_Impression'!A"&amp;MATCH(A8,Bulletins_Impression!$B:$B,0),"Voir bulletin"),"Voir bulletin")</x:f>
        <x:v>Voir bulletin</x:v>
      </x:c>
    </x:row>
    <x:row r="9">
      <x:c r="A9" s="25" t="str">
        <x:v>0020K</x:v>
      </x:c>
      <x:c r="B9" s="25" t="str">
        <x:v>KOUAKOU</x:v>
      </x:c>
      <x:c r="C9" s="25" t="str">
        <x:v>Kouadio Evrard Nicaise</x:v>
      </x:c>
      <x:c r="D9" s="25" t="str">
        <x:v>Direction Administrative et Financière</x:v>
      </x:c>
      <x:c r="E9" s="25" t="str">
        <x:v>DAF</x:v>
      </x:c>
      <x:c r="F9" s="25" t="str">
        <x:v>Responsale des TIC</x:v>
      </x:c>
      <x:c r="G9" s="25" t="str">
        <x:v>CDI</x:v>
      </x:c>
      <x:c r="H9" s="25" t="str">
        <x:v>Actif</x:v>
      </x:c>
      <x:c r="I9" s="54" t="n">
        <x:v>41760</x:v>
      </x:c>
      <x:c r="J9" s="25" t="n">
        <x:v>183011500094</x:v>
      </x:c>
      <x:c r="K9" s="64" t="n">
        <x:f>IFERROR(INDEX(Profils_Paie!$B:$B,MATCH($A9,Profils_Paie!$A:$A,0)),0)</x:f>
        <x:v>0</x:v>
      </x:c>
      <x:c r="L9" s="64" t="n">
        <x:f>IFERROR(INDEX(Profils_Paie!$C:$C,MATCH($A9,Profils_Paie!$A:$A,0)),0)</x:f>
        <x:v>0</x:v>
      </x:c>
      <x:c r="M9" s="25" t="n">
        <x:f>IFERROR(INDEX(Profils_Paie!$D:$D,MATCH($A9,Profils_Paie!$A:$A,0)),0)</x:f>
        <x:v>1</x:v>
      </x:c>
      <x:c r="N9" s="25" t="n">
        <x:f>IFERROR(INDEX(Profils_Paie!$E:$E,MATCH($A9,Profils_Paie!$A:$A,0)),0)</x:f>
        <x:v>1</x:v>
      </x:c>
      <x:c r="O9" s="25" t="n">
        <x:f>IFERROR(INDEX(Profils_Paie!$F:$F,MATCH($A9,Profils_Paie!$A:$A,0)),0)</x:f>
        <x:v>1</x:v>
      </x:c>
      <x:c r="P9" s="64" t="n">
        <x:f>IFERROR(INDEX(Profils_Paie!$G:$G,MATCH($A9,Profils_Paie!$A:$A,0)),0)</x:f>
        <x:v>0</x:v>
      </x:c>
      <x:c r="Q9" s="64" t="n">
        <x:f>IFERROR(INDEX(Profils_Paie!$H:$H,MATCH($A9,Profils_Paie!$A:$A,0)),0)</x:f>
        <x:v>0</x:v>
      </x:c>
      <x:c r="R9" s="64" t="n">
        <x:f>IFERROR(INDEX(Profils_Paie!$I:$I,MATCH($A9,Profils_Paie!$A:$A,0)),0)</x:f>
        <x:v>0</x:v>
      </x:c>
      <x:c r="S9" s="64" t="n">
        <x:f>IFERROR(INDEX(Profils_Paie!$J:$J,MATCH($A9,Profils_Paie!$A:$A,0)),0)</x:f>
        <x:v>0</x:v>
      </x:c>
      <x:c r="T9" s="66" t="n">
        <x:f>IFERROR(INDEX(Profils_Paie!$K:$K,MATCH($A9,Profils_Paie!$A:$A,0)),0)</x:f>
        <x:v>0.02</x:v>
      </x:c>
      <x:c r="U9" s="25" t="n">
        <x:f>IFERROR(INT((Parametres_Paie!$B$24-I9)/365.25),0)</x:f>
        <x:v>10</x:v>
      </x:c>
      <x:c r="V9" s="25" t="str">
        <x:f>IF(I9="","",U9&amp;" ans (calcul période)")</x:f>
        <x:v>10 ans (calcul période)</x:v>
      </x:c>
      <x:c r="W9" s="66" t="n">
        <x:f>IF(U9&lt;2,0,MIN(U9,25)/100)</x:f>
        <x:v>0.1</x:v>
      </x:c>
      <x:c r="X9" s="64" t="n">
        <x:f>ROUND(K9*W9,0)</x:f>
        <x:v>0</x:v>
      </x:c>
      <x:c r="Y9" s="64" t="n">
        <x:f>MIN(P9,Parametres_Paie!$B$11)</x:f>
        <x:v>0</x:v>
      </x:c>
      <x:c r="Z9" s="64" t="n">
        <x:f>MAX(P9-Parametres_Paie!$B$11,0)</x:f>
        <x:v>0</x:v>
      </x:c>
      <x:c r="AA9" s="64" t="n">
        <x:f>ROUND(K9+L9+X9+Q9+R9+Z9,0)</x:f>
        <x:v>0</x:v>
      </x:c>
      <x:c r="AB9" s="64" t="n">
        <x:f>IFERROR(IF(INDEX(Profils_Paie!$L:$L,MATCH($A9,Profils_Paie!$A:$A,0))="",MIN(AA9,Parametres_Paie!$B$6),MIN(INDEX(Profils_Paie!$L:$L,MATCH($A9,Profils_Paie!$A:$A,0)),Parametres_Paie!$B$6)),MIN(AA9,Parametres_Paie!$B$6))</x:f>
        <x:v>0</x:v>
      </x:c>
      <x:c r="AC9" s="64" t="n">
        <x:f>ROUND(AB9*Parametres_Paie!$B$4,0)</x:f>
        <x:v>0</x:v>
      </x:c>
      <x:c r="AD9" s="64" t="n">
        <x:f>IF(AA9&gt;0,ROUND(N9*Parametres_Paie!$B$12*Parametres_Paie!$B$13,0),0)</x:f>
        <x:v>0</x:v>
      </x:c>
      <x:c r="AE9" s="64" t="n">
        <x:f>IFERROR(INDEX(Parametres_Paie!$G$4:$G$12,MATCH(M9,Parametres_Paie!$F$4:$F$12,0)),0)</x:f>
        <x:v>0</x:v>
      </x:c>
      <x:c r="AF9" s="64" t="n">
        <x:f>ROUND(MAX(0,MAX(MIN(AA9,Parametres_Paie!$K$4)-Parametres_Paie!$J$4,0)*Parametres_Paie!$L$4+MAX(MIN(AA9,Parametres_Paie!$K$5)-Parametres_Paie!$J$5,0)*Parametres_Paie!$L$5+MAX(MIN(AA9,Parametres_Paie!$K$6)-Parametres_Paie!$J$6,0)*Parametres_Paie!$L$6+MAX(MIN(AA9,Parametres_Paie!$K$7)-Parametres_Paie!$J$7,0)*Parametres_Paie!$L$7+MAX(MIN(AA9,Parametres_Paie!$K$8)-Parametres_Paie!$J$8,0)*Parametres_Paie!$L$8+MAX(MIN(AA9,Parametres_Paie!$K$9)-Parametres_Paie!$J$9,0)*Parametres_Paie!$L$9-AE9),0)</x:f>
        <x:v>0</x:v>
      </x:c>
      <x:c r="AG9" s="64" t="n">
        <x:f>AC9+AD9+AF9</x:f>
        <x:v>0</x:v>
      </x:c>
      <x:c r="AH9" s="64" t="n">
        <x:f>ROUND(AB9*Parametres_Paie!$B$5,0)</x:f>
        <x:v>0</x:v>
      </x:c>
      <x:c r="AI9" s="64" t="n">
        <x:f>IF(AA9&gt;0,ROUND(Parametres_Paie!$B$7*Parametres_Paie!$B$8,0),0)</x:f>
        <x:v>0</x:v>
      </x:c>
      <x:c r="AJ9" s="64" t="n">
        <x:f>IF(AA9&gt;0,ROUND(Parametres_Paie!$B$7*T9,0),0)</x:f>
        <x:v>0</x:v>
      </x:c>
      <x:c r="AK9" s="64" t="n">
        <x:f>IF(AA9&gt;0,ROUND(Parametres_Paie!$B$7*Parametres_Paie!$B$9,0),0)</x:f>
        <x:v>0</x:v>
      </x:c>
      <x:c r="AL9" s="64" t="n">
        <x:f>IF(AA9&gt;0,ROUND(O9*Parametres_Paie!$B$12*Parametres_Paie!$B$14,0),0)</x:f>
        <x:v>0</x:v>
      </x:c>
      <x:c r="AM9" s="64" t="n">
        <x:f>ROUND(AA9*Parametres_Paie!$B$15,0)</x:f>
        <x:v>0</x:v>
      </x:c>
      <x:c r="AN9" s="64" t="n">
        <x:f>ROUND(AA9*Parametres_Paie!$B$16,0)</x:f>
        <x:v>0</x:v>
      </x:c>
      <x:c r="AO9" s="64" t="n">
        <x:f>ROUND(AA9*Parametres_Paie!$B$17,0)</x:f>
        <x:v>0</x:v>
      </x:c>
      <x:c r="AP9" s="64" t="n">
        <x:f>ROUND(AA9*Parametres_Paie!$B$18,0)</x:f>
        <x:v>0</x:v>
      </x:c>
      <x:c r="AQ9" s="64" t="n">
        <x:f>AH9+AI9+AJ9+AK9+AL9+AM9+AN9+AO9+AP9</x:f>
        <x:v>0</x:v>
      </x:c>
      <x:c r="AR9" s="64" t="n">
        <x:f>Y9+S9</x:f>
        <x:v>0</x:v>
      </x:c>
      <x:c r="AS9" s="64" t="n">
        <x:f>AA9+AR9</x:f>
        <x:v>0</x:v>
      </x:c>
      <x:c r="AT9" s="64" t="n">
        <x:f>AS9-AG9</x:f>
        <x:v>0</x:v>
      </x:c>
      <x:c r="AU9" s="64" t="n">
        <x:f>AS9+AQ9</x:f>
        <x:v>0</x:v>
      </x:c>
      <x:c r="AV9" s="25" t="str">
        <x:f>IF(H9&lt;&gt;"Actif","Inactif/à vérifier",IF(K9=0,"Profil paie à compléter",IF(J9="","CNPS manquant","OK")))</x:f>
        <x:v>Profil paie à compléter</x:v>
      </x:c>
      <x:c r="AW9" s="25" t="str">
        <x:f>IFERROR(HYPERLINK("#'Bulletins_Impression'!A"&amp;MATCH(A9,Bulletins_Impression!$B:$B,0),"Voir bulletin"),"Voir bulletin")</x:f>
        <x:v>Voir bulletin</x:v>
      </x:c>
    </x:row>
    <x:row r="10">
      <x:c r="A10" s="25" t="str">
        <x:v>0028M</x:v>
      </x:c>
      <x:c r="B10" s="25" t="str">
        <x:v>YAO</x:v>
      </x:c>
      <x:c r="C10" s="25" t="str">
        <x:v>Kouadio Valentin</x:v>
      </x:c>
      <x:c r="D10" s="25" t="str">
        <x:v>Direction des Services aux Membres et des Programmes</x:v>
      </x:c>
      <x:c r="E10" s="25" t="str">
        <x:v>DP</x:v>
      </x:c>
      <x:c r="F10" s="25" t="str">
        <x:v>Coordonnateur Senior Programme Assainissement en charge de SAO-CWIS</x:v>
      </x:c>
      <x:c r="G10" s="25" t="str">
        <x:v>CDI</x:v>
      </x:c>
      <x:c r="H10" s="25" t="str">
        <x:v>Actif</x:v>
      </x:c>
      <x:c r="I10" s="54" t="n">
        <x:v>42005</x:v>
      </x:c>
      <x:c r="J10" s="25" t="n">
        <x:v>179011055255</x:v>
      </x:c>
      <x:c r="K10" s="64" t="n">
        <x:f>IFERROR(INDEX(Profils_Paie!$B:$B,MATCH($A10,Profils_Paie!$A:$A,0)),0)</x:f>
        <x:v>0</x:v>
      </x:c>
      <x:c r="L10" s="64" t="n">
        <x:f>IFERROR(INDEX(Profils_Paie!$C:$C,MATCH($A10,Profils_Paie!$A:$A,0)),0)</x:f>
        <x:v>0</x:v>
      </x:c>
      <x:c r="M10" s="25" t="n">
        <x:f>IFERROR(INDEX(Profils_Paie!$D:$D,MATCH($A10,Profils_Paie!$A:$A,0)),0)</x:f>
        <x:v>1</x:v>
      </x:c>
      <x:c r="N10" s="25" t="n">
        <x:f>IFERROR(INDEX(Profils_Paie!$E:$E,MATCH($A10,Profils_Paie!$A:$A,0)),0)</x:f>
        <x:v>1</x:v>
      </x:c>
      <x:c r="O10" s="25" t="n">
        <x:f>IFERROR(INDEX(Profils_Paie!$F:$F,MATCH($A10,Profils_Paie!$A:$A,0)),0)</x:f>
        <x:v>1</x:v>
      </x:c>
      <x:c r="P10" s="64" t="n">
        <x:f>IFERROR(INDEX(Profils_Paie!$G:$G,MATCH($A10,Profils_Paie!$A:$A,0)),0)</x:f>
        <x:v>0</x:v>
      </x:c>
      <x:c r="Q10" s="64" t="n">
        <x:f>IFERROR(INDEX(Profils_Paie!$H:$H,MATCH($A10,Profils_Paie!$A:$A,0)),0)</x:f>
        <x:v>0</x:v>
      </x:c>
      <x:c r="R10" s="64" t="n">
        <x:f>IFERROR(INDEX(Profils_Paie!$I:$I,MATCH($A10,Profils_Paie!$A:$A,0)),0)</x:f>
        <x:v>0</x:v>
      </x:c>
      <x:c r="S10" s="64" t="n">
        <x:f>IFERROR(INDEX(Profils_Paie!$J:$J,MATCH($A10,Profils_Paie!$A:$A,0)),0)</x:f>
        <x:v>0</x:v>
      </x:c>
      <x:c r="T10" s="66" t="n">
        <x:f>IFERROR(INDEX(Profils_Paie!$K:$K,MATCH($A10,Profils_Paie!$A:$A,0)),0)</x:f>
        <x:v>0.02</x:v>
      </x:c>
      <x:c r="U10" s="25" t="n">
        <x:f>IFERROR(INT((Parametres_Paie!$B$24-I10)/365.25),0)</x:f>
        <x:v>10</x:v>
      </x:c>
      <x:c r="V10" s="25" t="str">
        <x:f>IF(I10="","",U10&amp;" ans (calcul période)")</x:f>
        <x:v>10 ans (calcul période)</x:v>
      </x:c>
      <x:c r="W10" s="66" t="n">
        <x:f>IF(U10&lt;2,0,MIN(U10,25)/100)</x:f>
        <x:v>0.1</x:v>
      </x:c>
      <x:c r="X10" s="64" t="n">
        <x:f>ROUND(K10*W10,0)</x:f>
        <x:v>0</x:v>
      </x:c>
      <x:c r="Y10" s="64" t="n">
        <x:f>MIN(P10,Parametres_Paie!$B$11)</x:f>
        <x:v>0</x:v>
      </x:c>
      <x:c r="Z10" s="64" t="n">
        <x:f>MAX(P10-Parametres_Paie!$B$11,0)</x:f>
        <x:v>0</x:v>
      </x:c>
      <x:c r="AA10" s="64" t="n">
        <x:f>ROUND(K10+L10+X10+Q10+R10+Z10,0)</x:f>
        <x:v>0</x:v>
      </x:c>
      <x:c r="AB10" s="64" t="n">
        <x:f>IFERROR(IF(INDEX(Profils_Paie!$L:$L,MATCH($A10,Profils_Paie!$A:$A,0))="",MIN(AA10,Parametres_Paie!$B$6),MIN(INDEX(Profils_Paie!$L:$L,MATCH($A10,Profils_Paie!$A:$A,0)),Parametres_Paie!$B$6)),MIN(AA10,Parametres_Paie!$B$6))</x:f>
        <x:v>0</x:v>
      </x:c>
      <x:c r="AC10" s="64" t="n">
        <x:f>ROUND(AB10*Parametres_Paie!$B$4,0)</x:f>
        <x:v>0</x:v>
      </x:c>
      <x:c r="AD10" s="64" t="n">
        <x:f>IF(AA10&gt;0,ROUND(N10*Parametres_Paie!$B$12*Parametres_Paie!$B$13,0),0)</x:f>
        <x:v>0</x:v>
      </x:c>
      <x:c r="AE10" s="64" t="n">
        <x:f>IFERROR(INDEX(Parametres_Paie!$G$4:$G$12,MATCH(M10,Parametres_Paie!$F$4:$F$12,0)),0)</x:f>
        <x:v>0</x:v>
      </x:c>
      <x:c r="AF10" s="64" t="n">
        <x:f>ROUND(MAX(0,MAX(MIN(AA10,Parametres_Paie!$K$4)-Parametres_Paie!$J$4,0)*Parametres_Paie!$L$4+MAX(MIN(AA10,Parametres_Paie!$K$5)-Parametres_Paie!$J$5,0)*Parametres_Paie!$L$5+MAX(MIN(AA10,Parametres_Paie!$K$6)-Parametres_Paie!$J$6,0)*Parametres_Paie!$L$6+MAX(MIN(AA10,Parametres_Paie!$K$7)-Parametres_Paie!$J$7,0)*Parametres_Paie!$L$7+MAX(MIN(AA10,Parametres_Paie!$K$8)-Parametres_Paie!$J$8,0)*Parametres_Paie!$L$8+MAX(MIN(AA10,Parametres_Paie!$K$9)-Parametres_Paie!$J$9,0)*Parametres_Paie!$L$9-AE10),0)</x:f>
        <x:v>0</x:v>
      </x:c>
      <x:c r="AG10" s="64" t="n">
        <x:f>AC10+AD10+AF10</x:f>
        <x:v>0</x:v>
      </x:c>
      <x:c r="AH10" s="64" t="n">
        <x:f>ROUND(AB10*Parametres_Paie!$B$5,0)</x:f>
        <x:v>0</x:v>
      </x:c>
      <x:c r="AI10" s="64" t="n">
        <x:f>IF(AA10&gt;0,ROUND(Parametres_Paie!$B$7*Parametres_Paie!$B$8,0),0)</x:f>
        <x:v>0</x:v>
      </x:c>
      <x:c r="AJ10" s="64" t="n">
        <x:f>IF(AA10&gt;0,ROUND(Parametres_Paie!$B$7*T10,0),0)</x:f>
        <x:v>0</x:v>
      </x:c>
      <x:c r="AK10" s="64" t="n">
        <x:f>IF(AA10&gt;0,ROUND(Parametres_Paie!$B$7*Parametres_Paie!$B$9,0),0)</x:f>
        <x:v>0</x:v>
      </x:c>
      <x:c r="AL10" s="64" t="n">
        <x:f>IF(AA10&gt;0,ROUND(O10*Parametres_Paie!$B$12*Parametres_Paie!$B$14,0),0)</x:f>
        <x:v>0</x:v>
      </x:c>
      <x:c r="AM10" s="64" t="n">
        <x:f>ROUND(AA10*Parametres_Paie!$B$15,0)</x:f>
        <x:v>0</x:v>
      </x:c>
      <x:c r="AN10" s="64" t="n">
        <x:f>ROUND(AA10*Parametres_Paie!$B$16,0)</x:f>
        <x:v>0</x:v>
      </x:c>
      <x:c r="AO10" s="64" t="n">
        <x:f>ROUND(AA10*Parametres_Paie!$B$17,0)</x:f>
        <x:v>0</x:v>
      </x:c>
      <x:c r="AP10" s="64" t="n">
        <x:f>ROUND(AA10*Parametres_Paie!$B$18,0)</x:f>
        <x:v>0</x:v>
      </x:c>
      <x:c r="AQ10" s="64" t="n">
        <x:f>AH10+AI10+AJ10+AK10+AL10+AM10+AN10+AO10+AP10</x:f>
        <x:v>0</x:v>
      </x:c>
      <x:c r="AR10" s="64" t="n">
        <x:f>Y10+S10</x:f>
        <x:v>0</x:v>
      </x:c>
      <x:c r="AS10" s="64" t="n">
        <x:f>AA10+AR10</x:f>
        <x:v>0</x:v>
      </x:c>
      <x:c r="AT10" s="64" t="n">
        <x:f>AS10-AG10</x:f>
        <x:v>0</x:v>
      </x:c>
      <x:c r="AU10" s="64" t="n">
        <x:f>AS10+AQ10</x:f>
        <x:v>0</x:v>
      </x:c>
      <x:c r="AV10" s="25" t="str">
        <x:f>IF(H10&lt;&gt;"Actif","Inactif/à vérifier",IF(K10=0,"Profil paie à compléter",IF(J10="","CNPS manquant","OK")))</x:f>
        <x:v>Profil paie à compléter</x:v>
      </x:c>
      <x:c r="AW10" s="25" t="str">
        <x:f>IFERROR(HYPERLINK("#'Bulletins_Impression'!A"&amp;MATCH(A10,Bulletins_Impression!$B:$B,0),"Voir bulletin"),"Voir bulletin")</x:f>
        <x:v>Voir bulletin</x:v>
      </x:c>
    </x:row>
    <x:row r="11">
      <x:c r="A11" s="25" t="str">
        <x:v>0030E</x:v>
      </x:c>
      <x:c r="B11" s="25" t="str">
        <x:v>KONE</x:v>
      </x:c>
      <x:c r="C11" s="25" t="str">
        <x:v>Soumaïla</x:v>
      </x:c>
      <x:c r="D11" s="25" t="str">
        <x:v>Cabinet de la Direction Exécutive</x:v>
      </x:c>
      <x:c r="E11" s="25" t="str">
        <x:v>DEX</x:v>
      </x:c>
      <x:c r="F11" s="25" t="str">
        <x:v>Chauffeur</x:v>
      </x:c>
      <x:c r="G11" s="25" t="str">
        <x:v>CDI</x:v>
      </x:c>
      <x:c r="H11" s="25" t="str">
        <x:v>Actif</x:v>
      </x:c>
      <x:c r="I11" s="54" t="n">
        <x:v>42064</x:v>
      </x:c>
      <x:c r="J11" s="25" t="n">
        <x:v>166011711861</x:v>
      </x:c>
      <x:c r="K11" s="64" t="n">
        <x:f>IFERROR(INDEX(Profils_Paie!$B:$B,MATCH($A11,Profils_Paie!$A:$A,0)),0)</x:f>
        <x:v>0</x:v>
      </x:c>
      <x:c r="L11" s="64" t="n">
        <x:f>IFERROR(INDEX(Profils_Paie!$C:$C,MATCH($A11,Profils_Paie!$A:$A,0)),0)</x:f>
        <x:v>0</x:v>
      </x:c>
      <x:c r="M11" s="25" t="n">
        <x:f>IFERROR(INDEX(Profils_Paie!$D:$D,MATCH($A11,Profils_Paie!$A:$A,0)),0)</x:f>
        <x:v>1</x:v>
      </x:c>
      <x:c r="N11" s="25" t="n">
        <x:f>IFERROR(INDEX(Profils_Paie!$E:$E,MATCH($A11,Profils_Paie!$A:$A,0)),0)</x:f>
        <x:v>1</x:v>
      </x:c>
      <x:c r="O11" s="25" t="n">
        <x:f>IFERROR(INDEX(Profils_Paie!$F:$F,MATCH($A11,Profils_Paie!$A:$A,0)),0)</x:f>
        <x:v>1</x:v>
      </x:c>
      <x:c r="P11" s="64" t="n">
        <x:f>IFERROR(INDEX(Profils_Paie!$G:$G,MATCH($A11,Profils_Paie!$A:$A,0)),0)</x:f>
        <x:v>0</x:v>
      </x:c>
      <x:c r="Q11" s="64" t="n">
        <x:f>IFERROR(INDEX(Profils_Paie!$H:$H,MATCH($A11,Profils_Paie!$A:$A,0)),0)</x:f>
        <x:v>0</x:v>
      </x:c>
      <x:c r="R11" s="64" t="n">
        <x:f>IFERROR(INDEX(Profils_Paie!$I:$I,MATCH($A11,Profils_Paie!$A:$A,0)),0)</x:f>
        <x:v>0</x:v>
      </x:c>
      <x:c r="S11" s="64" t="n">
        <x:f>IFERROR(INDEX(Profils_Paie!$J:$J,MATCH($A11,Profils_Paie!$A:$A,0)),0)</x:f>
        <x:v>0</x:v>
      </x:c>
      <x:c r="T11" s="66" t="n">
        <x:f>IFERROR(INDEX(Profils_Paie!$K:$K,MATCH($A11,Profils_Paie!$A:$A,0)),0)</x:f>
        <x:v>0.02</x:v>
      </x:c>
      <x:c r="U11" s="25" t="n">
        <x:f>IFERROR(INT((Parametres_Paie!$B$24-I11)/365.25),0)</x:f>
        <x:v>9</x:v>
      </x:c>
      <x:c r="V11" s="25" t="str">
        <x:f>IF(I11="","",U11&amp;" ans (calcul période)")</x:f>
        <x:v>9 ans (calcul période)</x:v>
      </x:c>
      <x:c r="W11" s="66" t="n">
        <x:f>IF(U11&lt;2,0,MIN(U11,25)/100)</x:f>
        <x:v>0.09</x:v>
      </x:c>
      <x:c r="X11" s="64" t="n">
        <x:f>ROUND(K11*W11,0)</x:f>
        <x:v>0</x:v>
      </x:c>
      <x:c r="Y11" s="64" t="n">
        <x:f>MIN(P11,Parametres_Paie!$B$11)</x:f>
        <x:v>0</x:v>
      </x:c>
      <x:c r="Z11" s="64" t="n">
        <x:f>MAX(P11-Parametres_Paie!$B$11,0)</x:f>
        <x:v>0</x:v>
      </x:c>
      <x:c r="AA11" s="64" t="n">
        <x:f>ROUND(K11+L11+X11+Q11+R11+Z11,0)</x:f>
        <x:v>0</x:v>
      </x:c>
      <x:c r="AB11" s="64" t="n">
        <x:f>IFERROR(IF(INDEX(Profils_Paie!$L:$L,MATCH($A11,Profils_Paie!$A:$A,0))="",MIN(AA11,Parametres_Paie!$B$6),MIN(INDEX(Profils_Paie!$L:$L,MATCH($A11,Profils_Paie!$A:$A,0)),Parametres_Paie!$B$6)),MIN(AA11,Parametres_Paie!$B$6))</x:f>
        <x:v>0</x:v>
      </x:c>
      <x:c r="AC11" s="64" t="n">
        <x:f>ROUND(AB11*Parametres_Paie!$B$4,0)</x:f>
        <x:v>0</x:v>
      </x:c>
      <x:c r="AD11" s="64" t="n">
        <x:f>IF(AA11&gt;0,ROUND(N11*Parametres_Paie!$B$12*Parametres_Paie!$B$13,0),0)</x:f>
        <x:v>0</x:v>
      </x:c>
      <x:c r="AE11" s="64" t="n">
        <x:f>IFERROR(INDEX(Parametres_Paie!$G$4:$G$12,MATCH(M11,Parametres_Paie!$F$4:$F$12,0)),0)</x:f>
        <x:v>0</x:v>
      </x:c>
      <x:c r="AF11" s="64" t="n">
        <x:f>ROUND(MAX(0,MAX(MIN(AA11,Parametres_Paie!$K$4)-Parametres_Paie!$J$4,0)*Parametres_Paie!$L$4+MAX(MIN(AA11,Parametres_Paie!$K$5)-Parametres_Paie!$J$5,0)*Parametres_Paie!$L$5+MAX(MIN(AA11,Parametres_Paie!$K$6)-Parametres_Paie!$J$6,0)*Parametres_Paie!$L$6+MAX(MIN(AA11,Parametres_Paie!$K$7)-Parametres_Paie!$J$7,0)*Parametres_Paie!$L$7+MAX(MIN(AA11,Parametres_Paie!$K$8)-Parametres_Paie!$J$8,0)*Parametres_Paie!$L$8+MAX(MIN(AA11,Parametres_Paie!$K$9)-Parametres_Paie!$J$9,0)*Parametres_Paie!$L$9-AE11),0)</x:f>
        <x:v>0</x:v>
      </x:c>
      <x:c r="AG11" s="64" t="n">
        <x:f>AC11+AD11+AF11</x:f>
        <x:v>0</x:v>
      </x:c>
      <x:c r="AH11" s="64" t="n">
        <x:f>ROUND(AB11*Parametres_Paie!$B$5,0)</x:f>
        <x:v>0</x:v>
      </x:c>
      <x:c r="AI11" s="64" t="n">
        <x:f>IF(AA11&gt;0,ROUND(Parametres_Paie!$B$7*Parametres_Paie!$B$8,0),0)</x:f>
        <x:v>0</x:v>
      </x:c>
      <x:c r="AJ11" s="64" t="n">
        <x:f>IF(AA11&gt;0,ROUND(Parametres_Paie!$B$7*T11,0),0)</x:f>
        <x:v>0</x:v>
      </x:c>
      <x:c r="AK11" s="64" t="n">
        <x:f>IF(AA11&gt;0,ROUND(Parametres_Paie!$B$7*Parametres_Paie!$B$9,0),0)</x:f>
        <x:v>0</x:v>
      </x:c>
      <x:c r="AL11" s="64" t="n">
        <x:f>IF(AA11&gt;0,ROUND(O11*Parametres_Paie!$B$12*Parametres_Paie!$B$14,0),0)</x:f>
        <x:v>0</x:v>
      </x:c>
      <x:c r="AM11" s="64" t="n">
        <x:f>ROUND(AA11*Parametres_Paie!$B$15,0)</x:f>
        <x:v>0</x:v>
      </x:c>
      <x:c r="AN11" s="64" t="n">
        <x:f>ROUND(AA11*Parametres_Paie!$B$16,0)</x:f>
        <x:v>0</x:v>
      </x:c>
      <x:c r="AO11" s="64" t="n">
        <x:f>ROUND(AA11*Parametres_Paie!$B$17,0)</x:f>
        <x:v>0</x:v>
      </x:c>
      <x:c r="AP11" s="64" t="n">
        <x:f>ROUND(AA11*Parametres_Paie!$B$18,0)</x:f>
        <x:v>0</x:v>
      </x:c>
      <x:c r="AQ11" s="64" t="n">
        <x:f>AH11+AI11+AJ11+AK11+AL11+AM11+AN11+AO11+AP11</x:f>
        <x:v>0</x:v>
      </x:c>
      <x:c r="AR11" s="64" t="n">
        <x:f>Y11+S11</x:f>
        <x:v>0</x:v>
      </x:c>
      <x:c r="AS11" s="64" t="n">
        <x:f>AA11+AR11</x:f>
        <x:v>0</x:v>
      </x:c>
      <x:c r="AT11" s="64" t="n">
        <x:f>AS11-AG11</x:f>
        <x:v>0</x:v>
      </x:c>
      <x:c r="AU11" s="64" t="n">
        <x:f>AS11+AQ11</x:f>
        <x:v>0</x:v>
      </x:c>
      <x:c r="AV11" s="25" t="str">
        <x:f>IF(H11&lt;&gt;"Actif","Inactif/à vérifier",IF(K11=0,"Profil paie à compléter",IF(J11="","CNPS manquant","OK")))</x:f>
        <x:v>Profil paie à compléter</x:v>
      </x:c>
      <x:c r="AW11" s="25" t="str">
        <x:f>IFERROR(HYPERLINK("#'Bulletins_Impression'!A"&amp;MATCH(A11,Bulletins_Impression!$B:$B,0),"Voir bulletin"),"Voir bulletin")</x:f>
        <x:v>Voir bulletin</x:v>
      </x:c>
    </x:row>
    <x:row r="12">
      <x:c r="A12" s="25" t="str">
        <x:v>0032F</x:v>
      </x:c>
      <x:c r="B12" s="25" t="str">
        <x:v>TIHI SEA</x:v>
      </x:c>
      <x:c r="C12" s="25" t="str">
        <x:v>Drissehonnon Vanessa</x:v>
      </x:c>
      <x:c r="D12" s="25" t="str">
        <x:v>Direction Administrative et Financière</x:v>
      </x:c>
      <x:c r="E12" s="25" t="str">
        <x:v>DAF</x:v>
      </x:c>
      <x:c r="F12" s="25" t="str">
        <x:v>Comptable Senior en Charge de la Trésorerie</x:v>
      </x:c>
      <x:c r="G12" s="25" t="str">
        <x:v>CDI</x:v>
      </x:c>
      <x:c r="H12" s="25" t="str">
        <x:v>Actif</x:v>
      </x:c>
      <x:c r="I12" s="54" t="n">
        <x:v>42401</x:v>
      </x:c>
      <x:c r="J12" s="25" t="n">
        <x:v>289011732370</x:v>
      </x:c>
      <x:c r="K12" s="64" t="n">
        <x:f>IFERROR(INDEX(Profils_Paie!$B:$B,MATCH($A12,Profils_Paie!$A:$A,0)),0)</x:f>
        <x:v>0</x:v>
      </x:c>
      <x:c r="L12" s="64" t="n">
        <x:f>IFERROR(INDEX(Profils_Paie!$C:$C,MATCH($A12,Profils_Paie!$A:$A,0)),0)</x:f>
        <x:v>0</x:v>
      </x:c>
      <x:c r="M12" s="25" t="n">
        <x:f>IFERROR(INDEX(Profils_Paie!$D:$D,MATCH($A12,Profils_Paie!$A:$A,0)),0)</x:f>
        <x:v>1</x:v>
      </x:c>
      <x:c r="N12" s="25" t="n">
        <x:f>IFERROR(INDEX(Profils_Paie!$E:$E,MATCH($A12,Profils_Paie!$A:$A,0)),0)</x:f>
        <x:v>1</x:v>
      </x:c>
      <x:c r="O12" s="25" t="n">
        <x:f>IFERROR(INDEX(Profils_Paie!$F:$F,MATCH($A12,Profils_Paie!$A:$A,0)),0)</x:f>
        <x:v>1</x:v>
      </x:c>
      <x:c r="P12" s="64" t="n">
        <x:f>IFERROR(INDEX(Profils_Paie!$G:$G,MATCH($A12,Profils_Paie!$A:$A,0)),0)</x:f>
        <x:v>0</x:v>
      </x:c>
      <x:c r="Q12" s="64" t="n">
        <x:f>IFERROR(INDEX(Profils_Paie!$H:$H,MATCH($A12,Profils_Paie!$A:$A,0)),0)</x:f>
        <x:v>0</x:v>
      </x:c>
      <x:c r="R12" s="64" t="n">
        <x:f>IFERROR(INDEX(Profils_Paie!$I:$I,MATCH($A12,Profils_Paie!$A:$A,0)),0)</x:f>
        <x:v>0</x:v>
      </x:c>
      <x:c r="S12" s="64" t="n">
        <x:f>IFERROR(INDEX(Profils_Paie!$J:$J,MATCH($A12,Profils_Paie!$A:$A,0)),0)</x:f>
        <x:v>0</x:v>
      </x:c>
      <x:c r="T12" s="66" t="n">
        <x:f>IFERROR(INDEX(Profils_Paie!$K:$K,MATCH($A12,Profils_Paie!$A:$A,0)),0)</x:f>
        <x:v>0.02</x:v>
      </x:c>
      <x:c r="U12" s="25" t="n">
        <x:f>IFERROR(INT((Parametres_Paie!$B$24-I12)/365.25),0)</x:f>
        <x:v>8</x:v>
      </x:c>
      <x:c r="V12" s="25" t="str">
        <x:f>IF(I12="","",U12&amp;" ans (calcul période)")</x:f>
        <x:v>8 ans (calcul période)</x:v>
      </x:c>
      <x:c r="W12" s="66" t="n">
        <x:f>IF(U12&lt;2,0,MIN(U12,25)/100)</x:f>
        <x:v>0.08</x:v>
      </x:c>
      <x:c r="X12" s="64" t="n">
        <x:f>ROUND(K12*W12,0)</x:f>
        <x:v>0</x:v>
      </x:c>
      <x:c r="Y12" s="64" t="n">
        <x:f>MIN(P12,Parametres_Paie!$B$11)</x:f>
        <x:v>0</x:v>
      </x:c>
      <x:c r="Z12" s="64" t="n">
        <x:f>MAX(P12-Parametres_Paie!$B$11,0)</x:f>
        <x:v>0</x:v>
      </x:c>
      <x:c r="AA12" s="64" t="n">
        <x:f>ROUND(K12+L12+X12+Q12+R12+Z12,0)</x:f>
        <x:v>0</x:v>
      </x:c>
      <x:c r="AB12" s="64" t="n">
        <x:f>IFERROR(IF(INDEX(Profils_Paie!$L:$L,MATCH($A12,Profils_Paie!$A:$A,0))="",MIN(AA12,Parametres_Paie!$B$6),MIN(INDEX(Profils_Paie!$L:$L,MATCH($A12,Profils_Paie!$A:$A,0)),Parametres_Paie!$B$6)),MIN(AA12,Parametres_Paie!$B$6))</x:f>
        <x:v>0</x:v>
      </x:c>
      <x:c r="AC12" s="64" t="n">
        <x:f>ROUND(AB12*Parametres_Paie!$B$4,0)</x:f>
        <x:v>0</x:v>
      </x:c>
      <x:c r="AD12" s="64" t="n">
        <x:f>IF(AA12&gt;0,ROUND(N12*Parametres_Paie!$B$12*Parametres_Paie!$B$13,0),0)</x:f>
        <x:v>0</x:v>
      </x:c>
      <x:c r="AE12" s="64" t="n">
        <x:f>IFERROR(INDEX(Parametres_Paie!$G$4:$G$12,MATCH(M12,Parametres_Paie!$F$4:$F$12,0)),0)</x:f>
        <x:v>0</x:v>
      </x:c>
      <x:c r="AF12" s="64" t="n">
        <x:f>ROUND(MAX(0,MAX(MIN(AA12,Parametres_Paie!$K$4)-Parametres_Paie!$J$4,0)*Parametres_Paie!$L$4+MAX(MIN(AA12,Parametres_Paie!$K$5)-Parametres_Paie!$J$5,0)*Parametres_Paie!$L$5+MAX(MIN(AA12,Parametres_Paie!$K$6)-Parametres_Paie!$J$6,0)*Parametres_Paie!$L$6+MAX(MIN(AA12,Parametres_Paie!$K$7)-Parametres_Paie!$J$7,0)*Parametres_Paie!$L$7+MAX(MIN(AA12,Parametres_Paie!$K$8)-Parametres_Paie!$J$8,0)*Parametres_Paie!$L$8+MAX(MIN(AA12,Parametres_Paie!$K$9)-Parametres_Paie!$J$9,0)*Parametres_Paie!$L$9-AE12),0)</x:f>
        <x:v>0</x:v>
      </x:c>
      <x:c r="AG12" s="64" t="n">
        <x:f>AC12+AD12+AF12</x:f>
        <x:v>0</x:v>
      </x:c>
      <x:c r="AH12" s="64" t="n">
        <x:f>ROUND(AB12*Parametres_Paie!$B$5,0)</x:f>
        <x:v>0</x:v>
      </x:c>
      <x:c r="AI12" s="64" t="n">
        <x:f>IF(AA12&gt;0,ROUND(Parametres_Paie!$B$7*Parametres_Paie!$B$8,0),0)</x:f>
        <x:v>0</x:v>
      </x:c>
      <x:c r="AJ12" s="64" t="n">
        <x:f>IF(AA12&gt;0,ROUND(Parametres_Paie!$B$7*T12,0),0)</x:f>
        <x:v>0</x:v>
      </x:c>
      <x:c r="AK12" s="64" t="n">
        <x:f>IF(AA12&gt;0,ROUND(Parametres_Paie!$B$7*Parametres_Paie!$B$9,0),0)</x:f>
        <x:v>0</x:v>
      </x:c>
      <x:c r="AL12" s="64" t="n">
        <x:f>IF(AA12&gt;0,ROUND(O12*Parametres_Paie!$B$12*Parametres_Paie!$B$14,0),0)</x:f>
        <x:v>0</x:v>
      </x:c>
      <x:c r="AM12" s="64" t="n">
        <x:f>ROUND(AA12*Parametres_Paie!$B$15,0)</x:f>
        <x:v>0</x:v>
      </x:c>
      <x:c r="AN12" s="64" t="n">
        <x:f>ROUND(AA12*Parametres_Paie!$B$16,0)</x:f>
        <x:v>0</x:v>
      </x:c>
      <x:c r="AO12" s="64" t="n">
        <x:f>ROUND(AA12*Parametres_Paie!$B$17,0)</x:f>
        <x:v>0</x:v>
      </x:c>
      <x:c r="AP12" s="64" t="n">
        <x:f>ROUND(AA12*Parametres_Paie!$B$18,0)</x:f>
        <x:v>0</x:v>
      </x:c>
      <x:c r="AQ12" s="64" t="n">
        <x:f>AH12+AI12+AJ12+AK12+AL12+AM12+AN12+AO12+AP12</x:f>
        <x:v>0</x:v>
      </x:c>
      <x:c r="AR12" s="64" t="n">
        <x:f>Y12+S12</x:f>
        <x:v>0</x:v>
      </x:c>
      <x:c r="AS12" s="64" t="n">
        <x:f>AA12+AR12</x:f>
        <x:v>0</x:v>
      </x:c>
      <x:c r="AT12" s="64" t="n">
        <x:f>AS12-AG12</x:f>
        <x:v>0</x:v>
      </x:c>
      <x:c r="AU12" s="64" t="n">
        <x:f>AS12+AQ12</x:f>
        <x:v>0</x:v>
      </x:c>
      <x:c r="AV12" s="25" t="str">
        <x:f>IF(H12&lt;&gt;"Actif","Inactif/à vérifier",IF(K12=0,"Profil paie à compléter",IF(J12="","CNPS manquant","OK")))</x:f>
        <x:v>Profil paie à compléter</x:v>
      </x:c>
      <x:c r="AW12" s="25" t="str">
        <x:f>IFERROR(HYPERLINK("#'Bulletins_Impression'!A"&amp;MATCH(A12,Bulletins_Impression!$B:$B,0),"Voir bulletin"),"Voir bulletin")</x:f>
        <x:v>Voir bulletin</x:v>
      </x:c>
    </x:row>
    <x:row r="13">
      <x:c r="A13" s="25" t="str">
        <x:v>0033M</x:v>
      </x:c>
      <x:c r="B13" s="25" t="str">
        <x:v>DJAGOUN</x:v>
      </x:c>
      <x:c r="C13" s="25" t="str">
        <x:v>Kolawolé Akindé Gilles</x:v>
      </x:c>
      <x:c r="D13" s="25" t="str">
        <x:v>Direction des Services aux Membres et des Programmes</x:v>
      </x:c>
      <x:c r="E13" s="25" t="str">
        <x:v>DP</x:v>
      </x:c>
      <x:c r="F13" s="25" t="str">
        <x:v>Coordonnateur Senior Programme Eau en Charge d'Africap</x:v>
      </x:c>
      <x:c r="G13" s="25" t="str">
        <x:v>CDI</x:v>
      </x:c>
      <x:c r="H13" s="25" t="str">
        <x:v>Licencié</x:v>
      </x:c>
      <x:c r="I13" s="54" t="n">
        <x:v>46082</x:v>
      </x:c>
      <x:c r="J13" s="25" t="n">
        <x:v>181051882852</x:v>
      </x:c>
      <x:c r="K13" s="64" t="n">
        <x:f>IFERROR(INDEX(Profils_Paie!$B:$B,MATCH($A13,Profils_Paie!$A:$A,0)),0)</x:f>
        <x:v>0</x:v>
      </x:c>
      <x:c r="L13" s="64" t="n">
        <x:f>IFERROR(INDEX(Profils_Paie!$C:$C,MATCH($A13,Profils_Paie!$A:$A,0)),0)</x:f>
        <x:v>0</x:v>
      </x:c>
      <x:c r="M13" s="25" t="n">
        <x:f>IFERROR(INDEX(Profils_Paie!$D:$D,MATCH($A13,Profils_Paie!$A:$A,0)),0)</x:f>
        <x:v>1</x:v>
      </x:c>
      <x:c r="N13" s="25" t="n">
        <x:f>IFERROR(INDEX(Profils_Paie!$E:$E,MATCH($A13,Profils_Paie!$A:$A,0)),0)</x:f>
        <x:v>1</x:v>
      </x:c>
      <x:c r="O13" s="25" t="n">
        <x:f>IFERROR(INDEX(Profils_Paie!$F:$F,MATCH($A13,Profils_Paie!$A:$A,0)),0)</x:f>
        <x:v>1</x:v>
      </x:c>
      <x:c r="P13" s="64" t="n">
        <x:f>IFERROR(INDEX(Profils_Paie!$G:$G,MATCH($A13,Profils_Paie!$A:$A,0)),0)</x:f>
        <x:v>0</x:v>
      </x:c>
      <x:c r="Q13" s="64" t="n">
        <x:f>IFERROR(INDEX(Profils_Paie!$H:$H,MATCH($A13,Profils_Paie!$A:$A,0)),0)</x:f>
        <x:v>0</x:v>
      </x:c>
      <x:c r="R13" s="64" t="n">
        <x:f>IFERROR(INDEX(Profils_Paie!$I:$I,MATCH($A13,Profils_Paie!$A:$A,0)),0)</x:f>
        <x:v>0</x:v>
      </x:c>
      <x:c r="S13" s="64" t="n">
        <x:f>IFERROR(INDEX(Profils_Paie!$J:$J,MATCH($A13,Profils_Paie!$A:$A,0)),0)</x:f>
        <x:v>0</x:v>
      </x:c>
      <x:c r="T13" s="66" t="n">
        <x:f>IFERROR(INDEX(Profils_Paie!$K:$K,MATCH($A13,Profils_Paie!$A:$A,0)),0)</x:f>
        <x:v>0.02</x:v>
      </x:c>
      <x:c r="U13" s="25" t="n">
        <x:f>IFERROR(INT((Parametres_Paie!$B$24-I13)/365.25),0)</x:f>
        <x:v>-2</x:v>
      </x:c>
      <x:c r="V13" s="25" t="str">
        <x:f>IF(I13="","",U13&amp;" ans (calcul période)")</x:f>
        <x:v>-2 ans (calcul période)</x:v>
      </x:c>
      <x:c r="W13" s="66" t="n">
        <x:f>IF(U13&lt;2,0,MIN(U13,25)/100)</x:f>
        <x:v>0</x:v>
      </x:c>
      <x:c r="X13" s="64" t="n">
        <x:f>ROUND(K13*W13,0)</x:f>
        <x:v>0</x:v>
      </x:c>
      <x:c r="Y13" s="64" t="n">
        <x:f>MIN(P13,Parametres_Paie!$B$11)</x:f>
        <x:v>0</x:v>
      </x:c>
      <x:c r="Z13" s="64" t="n">
        <x:f>MAX(P13-Parametres_Paie!$B$11,0)</x:f>
        <x:v>0</x:v>
      </x:c>
      <x:c r="AA13" s="64" t="n">
        <x:f>ROUND(K13+L13+X13+Q13+R13+Z13,0)</x:f>
        <x:v>0</x:v>
      </x:c>
      <x:c r="AB13" s="64" t="n">
        <x:f>IFERROR(IF(INDEX(Profils_Paie!$L:$L,MATCH($A13,Profils_Paie!$A:$A,0))="",MIN(AA13,Parametres_Paie!$B$6),MIN(INDEX(Profils_Paie!$L:$L,MATCH($A13,Profils_Paie!$A:$A,0)),Parametres_Paie!$B$6)),MIN(AA13,Parametres_Paie!$B$6))</x:f>
        <x:v>0</x:v>
      </x:c>
      <x:c r="AC13" s="64" t="n">
        <x:f>ROUND(AB13*Parametres_Paie!$B$4,0)</x:f>
        <x:v>0</x:v>
      </x:c>
      <x:c r="AD13" s="64" t="n">
        <x:f>IF(AA13&gt;0,ROUND(N13*Parametres_Paie!$B$12*Parametres_Paie!$B$13,0),0)</x:f>
        <x:v>0</x:v>
      </x:c>
      <x:c r="AE13" s="64" t="n">
        <x:f>IFERROR(INDEX(Parametres_Paie!$G$4:$G$12,MATCH(M13,Parametres_Paie!$F$4:$F$12,0)),0)</x:f>
        <x:v>0</x:v>
      </x:c>
      <x:c r="AF13" s="64" t="n">
        <x:f>ROUND(MAX(0,MAX(MIN(AA13,Parametres_Paie!$K$4)-Parametres_Paie!$J$4,0)*Parametres_Paie!$L$4+MAX(MIN(AA13,Parametres_Paie!$K$5)-Parametres_Paie!$J$5,0)*Parametres_Paie!$L$5+MAX(MIN(AA13,Parametres_Paie!$K$6)-Parametres_Paie!$J$6,0)*Parametres_Paie!$L$6+MAX(MIN(AA13,Parametres_Paie!$K$7)-Parametres_Paie!$J$7,0)*Parametres_Paie!$L$7+MAX(MIN(AA13,Parametres_Paie!$K$8)-Parametres_Paie!$J$8,0)*Parametres_Paie!$L$8+MAX(MIN(AA13,Parametres_Paie!$K$9)-Parametres_Paie!$J$9,0)*Parametres_Paie!$L$9-AE13),0)</x:f>
        <x:v>0</x:v>
      </x:c>
      <x:c r="AG13" s="64" t="n">
        <x:f>AC13+AD13+AF13</x:f>
        <x:v>0</x:v>
      </x:c>
      <x:c r="AH13" s="64" t="n">
        <x:f>ROUND(AB13*Parametres_Paie!$B$5,0)</x:f>
        <x:v>0</x:v>
      </x:c>
      <x:c r="AI13" s="64" t="n">
        <x:f>IF(AA13&gt;0,ROUND(Parametres_Paie!$B$7*Parametres_Paie!$B$8,0),0)</x:f>
        <x:v>0</x:v>
      </x:c>
      <x:c r="AJ13" s="64" t="n">
        <x:f>IF(AA13&gt;0,ROUND(Parametres_Paie!$B$7*T13,0),0)</x:f>
        <x:v>0</x:v>
      </x:c>
      <x:c r="AK13" s="64" t="n">
        <x:f>IF(AA13&gt;0,ROUND(Parametres_Paie!$B$7*Parametres_Paie!$B$9,0),0)</x:f>
        <x:v>0</x:v>
      </x:c>
      <x:c r="AL13" s="64" t="n">
        <x:f>IF(AA13&gt;0,ROUND(O13*Parametres_Paie!$B$12*Parametres_Paie!$B$14,0),0)</x:f>
        <x:v>0</x:v>
      </x:c>
      <x:c r="AM13" s="64" t="n">
        <x:f>ROUND(AA13*Parametres_Paie!$B$15,0)</x:f>
        <x:v>0</x:v>
      </x:c>
      <x:c r="AN13" s="64" t="n">
        <x:f>ROUND(AA13*Parametres_Paie!$B$16,0)</x:f>
        <x:v>0</x:v>
      </x:c>
      <x:c r="AO13" s="64" t="n">
        <x:f>ROUND(AA13*Parametres_Paie!$B$17,0)</x:f>
        <x:v>0</x:v>
      </x:c>
      <x:c r="AP13" s="64" t="n">
        <x:f>ROUND(AA13*Parametres_Paie!$B$18,0)</x:f>
        <x:v>0</x:v>
      </x:c>
      <x:c r="AQ13" s="64" t="n">
        <x:f>AH13+AI13+AJ13+AK13+AL13+AM13+AN13+AO13+AP13</x:f>
        <x:v>0</x:v>
      </x:c>
      <x:c r="AR13" s="64" t="n">
        <x:f>Y13+S13</x:f>
        <x:v>0</x:v>
      </x:c>
      <x:c r="AS13" s="64" t="n">
        <x:f>AA13+AR13</x:f>
        <x:v>0</x:v>
      </x:c>
      <x:c r="AT13" s="64" t="n">
        <x:f>AS13-AG13</x:f>
        <x:v>0</x:v>
      </x:c>
      <x:c r="AU13" s="64" t="n">
        <x:f>AS13+AQ13</x:f>
        <x:v>0</x:v>
      </x:c>
      <x:c r="AV13" s="25" t="str">
        <x:f>IF(H13&lt;&gt;"Actif","Inactif/à vérifier",IF(K13=0,"Profil paie à compléter",IF(J13="","CNPS manquant","OK")))</x:f>
        <x:v>Inactif/à vérifier</x:v>
      </x:c>
      <x:c r="AW13" s="25" t="str">
        <x:f>IFERROR(HYPERLINK("#'Bulletins_Impression'!A"&amp;MATCH(A13,Bulletins_Impression!$B:$B,0),"Voir bulletin"),"Voir bulletin")</x:f>
        <x:v>Voir bulletin</x:v>
      </x:c>
    </x:row>
    <x:row r="14">
      <x:c r="A14" s="25" t="str">
        <x:v>0038M</x:v>
      </x:c>
      <x:c r="B14" s="25" t="str">
        <x:v>GNANKPA</x:v>
      </x:c>
      <x:c r="C14" s="25" t="str">
        <x:v>Kouassi Olivier Marius</x:v>
      </x:c>
      <x:c r="D14" s="25" t="str">
        <x:v>Direction Administrative et Financière</x:v>
      </x:c>
      <x:c r="E14" s="25" t="str">
        <x:v>DAF</x:v>
      </x:c>
      <x:c r="F14" s="25" t="str">
        <x:v>Directeur Administratif &amp; Financier</x:v>
      </x:c>
      <x:c r="G14" s="25" t="str">
        <x:v>CDI</x:v>
      </x:c>
      <x:c r="H14" s="25" t="str">
        <x:v>Actif</x:v>
      </x:c>
      <x:c r="I14" s="54" t="n">
        <x:v>42430</x:v>
      </x:c>
      <x:c r="J14" s="25" t="n">
        <x:v>181010623871</x:v>
      </x:c>
      <x:c r="K14" s="64" t="n">
        <x:f>IFERROR(INDEX(Profils_Paie!$B:$B,MATCH($A14,Profils_Paie!$A:$A,0)),0)</x:f>
        <x:v>0</x:v>
      </x:c>
      <x:c r="L14" s="64" t="n">
        <x:f>IFERROR(INDEX(Profils_Paie!$C:$C,MATCH($A14,Profils_Paie!$A:$A,0)),0)</x:f>
        <x:v>0</x:v>
      </x:c>
      <x:c r="M14" s="25" t="n">
        <x:f>IFERROR(INDEX(Profils_Paie!$D:$D,MATCH($A14,Profils_Paie!$A:$A,0)),0)</x:f>
        <x:v>1</x:v>
      </x:c>
      <x:c r="N14" s="25" t="n">
        <x:f>IFERROR(INDEX(Profils_Paie!$E:$E,MATCH($A14,Profils_Paie!$A:$A,0)),0)</x:f>
        <x:v>1</x:v>
      </x:c>
      <x:c r="O14" s="25" t="n">
        <x:f>IFERROR(INDEX(Profils_Paie!$F:$F,MATCH($A14,Profils_Paie!$A:$A,0)),0)</x:f>
        <x:v>1</x:v>
      </x:c>
      <x:c r="P14" s="64" t="n">
        <x:f>IFERROR(INDEX(Profils_Paie!$G:$G,MATCH($A14,Profils_Paie!$A:$A,0)),0)</x:f>
        <x:v>0</x:v>
      </x:c>
      <x:c r="Q14" s="64" t="n">
        <x:f>IFERROR(INDEX(Profils_Paie!$H:$H,MATCH($A14,Profils_Paie!$A:$A,0)),0)</x:f>
        <x:v>0</x:v>
      </x:c>
      <x:c r="R14" s="64" t="n">
        <x:f>IFERROR(INDEX(Profils_Paie!$I:$I,MATCH($A14,Profils_Paie!$A:$A,0)),0)</x:f>
        <x:v>0</x:v>
      </x:c>
      <x:c r="S14" s="64" t="n">
        <x:f>IFERROR(INDEX(Profils_Paie!$J:$J,MATCH($A14,Profils_Paie!$A:$A,0)),0)</x:f>
        <x:v>0</x:v>
      </x:c>
      <x:c r="T14" s="66" t="n">
        <x:f>IFERROR(INDEX(Profils_Paie!$K:$K,MATCH($A14,Profils_Paie!$A:$A,0)),0)</x:f>
        <x:v>0.02</x:v>
      </x:c>
      <x:c r="U14" s="25" t="n">
        <x:f>IFERROR(INT((Parametres_Paie!$B$24-I14)/365.25),0)</x:f>
        <x:v>8</x:v>
      </x:c>
      <x:c r="V14" s="25" t="str">
        <x:f>IF(I14="","",U14&amp;" ans (calcul période)")</x:f>
        <x:v>8 ans (calcul période)</x:v>
      </x:c>
      <x:c r="W14" s="66" t="n">
        <x:f>IF(U14&lt;2,0,MIN(U14,25)/100)</x:f>
        <x:v>0.08</x:v>
      </x:c>
      <x:c r="X14" s="64" t="n">
        <x:f>ROUND(K14*W14,0)</x:f>
        <x:v>0</x:v>
      </x:c>
      <x:c r="Y14" s="64" t="n">
        <x:f>MIN(P14,Parametres_Paie!$B$11)</x:f>
        <x:v>0</x:v>
      </x:c>
      <x:c r="Z14" s="64" t="n">
        <x:f>MAX(P14-Parametres_Paie!$B$11,0)</x:f>
        <x:v>0</x:v>
      </x:c>
      <x:c r="AA14" s="64" t="n">
        <x:f>ROUND(K14+L14+X14+Q14+R14+Z14,0)</x:f>
        <x:v>0</x:v>
      </x:c>
      <x:c r="AB14" s="64" t="n">
        <x:f>IFERROR(IF(INDEX(Profils_Paie!$L:$L,MATCH($A14,Profils_Paie!$A:$A,0))="",MIN(AA14,Parametres_Paie!$B$6),MIN(INDEX(Profils_Paie!$L:$L,MATCH($A14,Profils_Paie!$A:$A,0)),Parametres_Paie!$B$6)),MIN(AA14,Parametres_Paie!$B$6))</x:f>
        <x:v>0</x:v>
      </x:c>
      <x:c r="AC14" s="64" t="n">
        <x:f>ROUND(AB14*Parametres_Paie!$B$4,0)</x:f>
        <x:v>0</x:v>
      </x:c>
      <x:c r="AD14" s="64" t="n">
        <x:f>IF(AA14&gt;0,ROUND(N14*Parametres_Paie!$B$12*Parametres_Paie!$B$13,0),0)</x:f>
        <x:v>0</x:v>
      </x:c>
      <x:c r="AE14" s="64" t="n">
        <x:f>IFERROR(INDEX(Parametres_Paie!$G$4:$G$12,MATCH(M14,Parametres_Paie!$F$4:$F$12,0)),0)</x:f>
        <x:v>0</x:v>
      </x:c>
      <x:c r="AF14" s="64" t="n">
        <x:f>ROUND(MAX(0,MAX(MIN(AA14,Parametres_Paie!$K$4)-Parametres_Paie!$J$4,0)*Parametres_Paie!$L$4+MAX(MIN(AA14,Parametres_Paie!$K$5)-Parametres_Paie!$J$5,0)*Parametres_Paie!$L$5+MAX(MIN(AA14,Parametres_Paie!$K$6)-Parametres_Paie!$J$6,0)*Parametres_Paie!$L$6+MAX(MIN(AA14,Parametres_Paie!$K$7)-Parametres_Paie!$J$7,0)*Parametres_Paie!$L$7+MAX(MIN(AA14,Parametres_Paie!$K$8)-Parametres_Paie!$J$8,0)*Parametres_Paie!$L$8+MAX(MIN(AA14,Parametres_Paie!$K$9)-Parametres_Paie!$J$9,0)*Parametres_Paie!$L$9-AE14),0)</x:f>
        <x:v>0</x:v>
      </x:c>
      <x:c r="AG14" s="64" t="n">
        <x:f>AC14+AD14+AF14</x:f>
        <x:v>0</x:v>
      </x:c>
      <x:c r="AH14" s="64" t="n">
        <x:f>ROUND(AB14*Parametres_Paie!$B$5,0)</x:f>
        <x:v>0</x:v>
      </x:c>
      <x:c r="AI14" s="64" t="n">
        <x:f>IF(AA14&gt;0,ROUND(Parametres_Paie!$B$7*Parametres_Paie!$B$8,0),0)</x:f>
        <x:v>0</x:v>
      </x:c>
      <x:c r="AJ14" s="64" t="n">
        <x:f>IF(AA14&gt;0,ROUND(Parametres_Paie!$B$7*T14,0),0)</x:f>
        <x:v>0</x:v>
      </x:c>
      <x:c r="AK14" s="64" t="n">
        <x:f>IF(AA14&gt;0,ROUND(Parametres_Paie!$B$7*Parametres_Paie!$B$9,0),0)</x:f>
        <x:v>0</x:v>
      </x:c>
      <x:c r="AL14" s="64" t="n">
        <x:f>IF(AA14&gt;0,ROUND(O14*Parametres_Paie!$B$12*Parametres_Paie!$B$14,0),0)</x:f>
        <x:v>0</x:v>
      </x:c>
      <x:c r="AM14" s="64" t="n">
        <x:f>ROUND(AA14*Parametres_Paie!$B$15,0)</x:f>
        <x:v>0</x:v>
      </x:c>
      <x:c r="AN14" s="64" t="n">
        <x:f>ROUND(AA14*Parametres_Paie!$B$16,0)</x:f>
        <x:v>0</x:v>
      </x:c>
      <x:c r="AO14" s="64" t="n">
        <x:f>ROUND(AA14*Parametres_Paie!$B$17,0)</x:f>
        <x:v>0</x:v>
      </x:c>
      <x:c r="AP14" s="64" t="n">
        <x:f>ROUND(AA14*Parametres_Paie!$B$18,0)</x:f>
        <x:v>0</x:v>
      </x:c>
      <x:c r="AQ14" s="64" t="n">
        <x:f>AH14+AI14+AJ14+AK14+AL14+AM14+AN14+AO14+AP14</x:f>
        <x:v>0</x:v>
      </x:c>
      <x:c r="AR14" s="64" t="n">
        <x:f>Y14+S14</x:f>
        <x:v>0</x:v>
      </x:c>
      <x:c r="AS14" s="64" t="n">
        <x:f>AA14+AR14</x:f>
        <x:v>0</x:v>
      </x:c>
      <x:c r="AT14" s="64" t="n">
        <x:f>AS14-AG14</x:f>
        <x:v>0</x:v>
      </x:c>
      <x:c r="AU14" s="64" t="n">
        <x:f>AS14+AQ14</x:f>
        <x:v>0</x:v>
      </x:c>
      <x:c r="AV14" s="25" t="str">
        <x:f>IF(H14&lt;&gt;"Actif","Inactif/à vérifier",IF(K14=0,"Profil paie à compléter",IF(J14="","CNPS manquant","OK")))</x:f>
        <x:v>Profil paie à compléter</x:v>
      </x:c>
      <x:c r="AW14" s="25" t="str">
        <x:f>IFERROR(HYPERLINK("#'Bulletins_Impression'!A"&amp;MATCH(A14,Bulletins_Impression!$B:$B,0),"Voir bulletin"),"Voir bulletin")</x:f>
        <x:v>Voir bulletin</x:v>
      </x:c>
    </x:row>
    <x:row r="15">
      <x:c r="A15" s="25" t="str">
        <x:v>0040N</x:v>
      </x:c>
      <x:c r="B15" s="25" t="str">
        <x:v>GOHOU NZICKONAN</x:v>
      </x:c>
      <x:c r="C15" s="25" t="str">
        <x:v>Gisèle Stéphanie</x:v>
      </x:c>
      <x:c r="D15" s="25" t="str">
        <x:v>Cabinet de la Direction Exécutive</x:v>
      </x:c>
      <x:c r="E15" s="25" t="str">
        <x:v>Cabinet DEX</x:v>
      </x:c>
      <x:c r="F15" s="25" t="str">
        <x:v>Responsable Communication</x:v>
      </x:c>
      <x:c r="G15" s="25" t="str">
        <x:v>CDI</x:v>
      </x:c>
      <x:c r="H15" s="25" t="str">
        <x:v>Actif</x:v>
      </x:c>
      <x:c r="I15" s="54" t="n">
        <x:v>42795</x:v>
      </x:c>
      <x:c r="J15" s="25" t="n">
        <x:v>275010704625</x:v>
      </x:c>
      <x:c r="K15" s="64" t="n">
        <x:f>IFERROR(INDEX(Profils_Paie!$B:$B,MATCH($A15,Profils_Paie!$A:$A,0)),0)</x:f>
        <x:v>0</x:v>
      </x:c>
      <x:c r="L15" s="64" t="n">
        <x:f>IFERROR(INDEX(Profils_Paie!$C:$C,MATCH($A15,Profils_Paie!$A:$A,0)),0)</x:f>
        <x:v>0</x:v>
      </x:c>
      <x:c r="M15" s="25" t="n">
        <x:f>IFERROR(INDEX(Profils_Paie!$D:$D,MATCH($A15,Profils_Paie!$A:$A,0)),0)</x:f>
        <x:v>1</x:v>
      </x:c>
      <x:c r="N15" s="25" t="n">
        <x:f>IFERROR(INDEX(Profils_Paie!$E:$E,MATCH($A15,Profils_Paie!$A:$A,0)),0)</x:f>
        <x:v>1</x:v>
      </x:c>
      <x:c r="O15" s="25" t="n">
        <x:f>IFERROR(INDEX(Profils_Paie!$F:$F,MATCH($A15,Profils_Paie!$A:$A,0)),0)</x:f>
        <x:v>1</x:v>
      </x:c>
      <x:c r="P15" s="64" t="n">
        <x:f>IFERROR(INDEX(Profils_Paie!$G:$G,MATCH($A15,Profils_Paie!$A:$A,0)),0)</x:f>
        <x:v>0</x:v>
      </x:c>
      <x:c r="Q15" s="64" t="n">
        <x:f>IFERROR(INDEX(Profils_Paie!$H:$H,MATCH($A15,Profils_Paie!$A:$A,0)),0)</x:f>
        <x:v>0</x:v>
      </x:c>
      <x:c r="R15" s="64" t="n">
        <x:f>IFERROR(INDEX(Profils_Paie!$I:$I,MATCH($A15,Profils_Paie!$A:$A,0)),0)</x:f>
        <x:v>0</x:v>
      </x:c>
      <x:c r="S15" s="64" t="n">
        <x:f>IFERROR(INDEX(Profils_Paie!$J:$J,MATCH($A15,Profils_Paie!$A:$A,0)),0)</x:f>
        <x:v>0</x:v>
      </x:c>
      <x:c r="T15" s="66" t="n">
        <x:f>IFERROR(INDEX(Profils_Paie!$K:$K,MATCH($A15,Profils_Paie!$A:$A,0)),0)</x:f>
        <x:v>0.02</x:v>
      </x:c>
      <x:c r="U15" s="25" t="n">
        <x:f>IFERROR(INT((Parametres_Paie!$B$24-I15)/365.25),0)</x:f>
        <x:v>7</x:v>
      </x:c>
      <x:c r="V15" s="25" t="str">
        <x:f>IF(I15="","",U15&amp;" ans (calcul période)")</x:f>
        <x:v>7 ans (calcul période)</x:v>
      </x:c>
      <x:c r="W15" s="66" t="n">
        <x:f>IF(U15&lt;2,0,MIN(U15,25)/100)</x:f>
        <x:v>0.07</x:v>
      </x:c>
      <x:c r="X15" s="64" t="n">
        <x:f>ROUND(K15*W15,0)</x:f>
        <x:v>0</x:v>
      </x:c>
      <x:c r="Y15" s="64" t="n">
        <x:f>MIN(P15,Parametres_Paie!$B$11)</x:f>
        <x:v>0</x:v>
      </x:c>
      <x:c r="Z15" s="64" t="n">
        <x:f>MAX(P15-Parametres_Paie!$B$11,0)</x:f>
        <x:v>0</x:v>
      </x:c>
      <x:c r="AA15" s="64" t="n">
        <x:f>ROUND(K15+L15+X15+Q15+R15+Z15,0)</x:f>
        <x:v>0</x:v>
      </x:c>
      <x:c r="AB15" s="64" t="n">
        <x:f>IFERROR(IF(INDEX(Profils_Paie!$L:$L,MATCH($A15,Profils_Paie!$A:$A,0))="",MIN(AA15,Parametres_Paie!$B$6),MIN(INDEX(Profils_Paie!$L:$L,MATCH($A15,Profils_Paie!$A:$A,0)),Parametres_Paie!$B$6)),MIN(AA15,Parametres_Paie!$B$6))</x:f>
        <x:v>0</x:v>
      </x:c>
      <x:c r="AC15" s="64" t="n">
        <x:f>ROUND(AB15*Parametres_Paie!$B$4,0)</x:f>
        <x:v>0</x:v>
      </x:c>
      <x:c r="AD15" s="64" t="n">
        <x:f>IF(AA15&gt;0,ROUND(N15*Parametres_Paie!$B$12*Parametres_Paie!$B$13,0),0)</x:f>
        <x:v>0</x:v>
      </x:c>
      <x:c r="AE15" s="64" t="n">
        <x:f>IFERROR(INDEX(Parametres_Paie!$G$4:$G$12,MATCH(M15,Parametres_Paie!$F$4:$F$12,0)),0)</x:f>
        <x:v>0</x:v>
      </x:c>
      <x:c r="AF15" s="64" t="n">
        <x:f>ROUND(MAX(0,MAX(MIN(AA15,Parametres_Paie!$K$4)-Parametres_Paie!$J$4,0)*Parametres_Paie!$L$4+MAX(MIN(AA15,Parametres_Paie!$K$5)-Parametres_Paie!$J$5,0)*Parametres_Paie!$L$5+MAX(MIN(AA15,Parametres_Paie!$K$6)-Parametres_Paie!$J$6,0)*Parametres_Paie!$L$6+MAX(MIN(AA15,Parametres_Paie!$K$7)-Parametres_Paie!$J$7,0)*Parametres_Paie!$L$7+MAX(MIN(AA15,Parametres_Paie!$K$8)-Parametres_Paie!$J$8,0)*Parametres_Paie!$L$8+MAX(MIN(AA15,Parametres_Paie!$K$9)-Parametres_Paie!$J$9,0)*Parametres_Paie!$L$9-AE15),0)</x:f>
        <x:v>0</x:v>
      </x:c>
      <x:c r="AG15" s="64" t="n">
        <x:f>AC15+AD15+AF15</x:f>
        <x:v>0</x:v>
      </x:c>
      <x:c r="AH15" s="64" t="n">
        <x:f>ROUND(AB15*Parametres_Paie!$B$5,0)</x:f>
        <x:v>0</x:v>
      </x:c>
      <x:c r="AI15" s="64" t="n">
        <x:f>IF(AA15&gt;0,ROUND(Parametres_Paie!$B$7*Parametres_Paie!$B$8,0),0)</x:f>
        <x:v>0</x:v>
      </x:c>
      <x:c r="AJ15" s="64" t="n">
        <x:f>IF(AA15&gt;0,ROUND(Parametres_Paie!$B$7*T15,0),0)</x:f>
        <x:v>0</x:v>
      </x:c>
      <x:c r="AK15" s="64" t="n">
        <x:f>IF(AA15&gt;0,ROUND(Parametres_Paie!$B$7*Parametres_Paie!$B$9,0),0)</x:f>
        <x:v>0</x:v>
      </x:c>
      <x:c r="AL15" s="64" t="n">
        <x:f>IF(AA15&gt;0,ROUND(O15*Parametres_Paie!$B$12*Parametres_Paie!$B$14,0),0)</x:f>
        <x:v>0</x:v>
      </x:c>
      <x:c r="AM15" s="64" t="n">
        <x:f>ROUND(AA15*Parametres_Paie!$B$15,0)</x:f>
        <x:v>0</x:v>
      </x:c>
      <x:c r="AN15" s="64" t="n">
        <x:f>ROUND(AA15*Parametres_Paie!$B$16,0)</x:f>
        <x:v>0</x:v>
      </x:c>
      <x:c r="AO15" s="64" t="n">
        <x:f>ROUND(AA15*Parametres_Paie!$B$17,0)</x:f>
        <x:v>0</x:v>
      </x:c>
      <x:c r="AP15" s="64" t="n">
        <x:f>ROUND(AA15*Parametres_Paie!$B$18,0)</x:f>
        <x:v>0</x:v>
      </x:c>
      <x:c r="AQ15" s="64" t="n">
        <x:f>AH15+AI15+AJ15+AK15+AL15+AM15+AN15+AO15+AP15</x:f>
        <x:v>0</x:v>
      </x:c>
      <x:c r="AR15" s="64" t="n">
        <x:f>Y15+S15</x:f>
        <x:v>0</x:v>
      </x:c>
      <x:c r="AS15" s="64" t="n">
        <x:f>AA15+AR15</x:f>
        <x:v>0</x:v>
      </x:c>
      <x:c r="AT15" s="64" t="n">
        <x:f>AS15-AG15</x:f>
        <x:v>0</x:v>
      </x:c>
      <x:c r="AU15" s="64" t="n">
        <x:f>AS15+AQ15</x:f>
        <x:v>0</x:v>
      </x:c>
      <x:c r="AV15" s="25" t="str">
        <x:f>IF(H15&lt;&gt;"Actif","Inactif/à vérifier",IF(K15=0,"Profil paie à compléter",IF(J15="","CNPS manquant","OK")))</x:f>
        <x:v>Profil paie à compléter</x:v>
      </x:c>
      <x:c r="AW15" s="25" t="str">
        <x:f>IFERROR(HYPERLINK("#'Bulletins_Impression'!A"&amp;MATCH(A15,Bulletins_Impression!$B:$B,0),"Voir bulletin"),"Voir bulletin")</x:f>
        <x:v>Voir bulletin</x:v>
      </x:c>
    </x:row>
    <x:row r="16">
      <x:c r="A16" s="25" t="str">
        <x:v>0045A</x:v>
      </x:c>
      <x:c r="B16" s="25" t="str">
        <x:v>YAO</x:v>
      </x:c>
      <x:c r="C16" s="25" t="str">
        <x:v>Kan Amos</x:v>
      </x:c>
      <x:c r="D16" s="25" t="str">
        <x:v>Direction Administrative et Financière</x:v>
      </x:c>
      <x:c r="E16" s="25" t="str">
        <x:v>DAF</x:v>
      </x:c>
      <x:c r="F16" s="25" t="str">
        <x:v>Chargé des Achats</x:v>
      </x:c>
      <x:c r="G16" s="25" t="str">
        <x:v>CDI</x:v>
      </x:c>
      <x:c r="H16" s="25" t="str">
        <x:v>Actif</x:v>
      </x:c>
      <x:c r="I16" s="54" t="n">
        <x:v>43222</x:v>
      </x:c>
      <x:c r="J16" s="25" t="n">
        <x:v>178011202993</x:v>
      </x:c>
      <x:c r="K16" s="64" t="n">
        <x:f>IFERROR(INDEX(Profils_Paie!$B:$B,MATCH($A16,Profils_Paie!$A:$A,0)),0)</x:f>
        <x:v>0</x:v>
      </x:c>
      <x:c r="L16" s="64" t="n">
        <x:f>IFERROR(INDEX(Profils_Paie!$C:$C,MATCH($A16,Profils_Paie!$A:$A,0)),0)</x:f>
        <x:v>0</x:v>
      </x:c>
      <x:c r="M16" s="25" t="n">
        <x:f>IFERROR(INDEX(Profils_Paie!$D:$D,MATCH($A16,Profils_Paie!$A:$A,0)),0)</x:f>
        <x:v>1</x:v>
      </x:c>
      <x:c r="N16" s="25" t="n">
        <x:f>IFERROR(INDEX(Profils_Paie!$E:$E,MATCH($A16,Profils_Paie!$A:$A,0)),0)</x:f>
        <x:v>1</x:v>
      </x:c>
      <x:c r="O16" s="25" t="n">
        <x:f>IFERROR(INDEX(Profils_Paie!$F:$F,MATCH($A16,Profils_Paie!$A:$A,0)),0)</x:f>
        <x:v>1</x:v>
      </x:c>
      <x:c r="P16" s="64" t="n">
        <x:f>IFERROR(INDEX(Profils_Paie!$G:$G,MATCH($A16,Profils_Paie!$A:$A,0)),0)</x:f>
        <x:v>0</x:v>
      </x:c>
      <x:c r="Q16" s="64" t="n">
        <x:f>IFERROR(INDEX(Profils_Paie!$H:$H,MATCH($A16,Profils_Paie!$A:$A,0)),0)</x:f>
        <x:v>0</x:v>
      </x:c>
      <x:c r="R16" s="64" t="n">
        <x:f>IFERROR(INDEX(Profils_Paie!$I:$I,MATCH($A16,Profils_Paie!$A:$A,0)),0)</x:f>
        <x:v>0</x:v>
      </x:c>
      <x:c r="S16" s="64" t="n">
        <x:f>IFERROR(INDEX(Profils_Paie!$J:$J,MATCH($A16,Profils_Paie!$A:$A,0)),0)</x:f>
        <x:v>0</x:v>
      </x:c>
      <x:c r="T16" s="66" t="n">
        <x:f>IFERROR(INDEX(Profils_Paie!$K:$K,MATCH($A16,Profils_Paie!$A:$A,0)),0)</x:f>
        <x:v>0.02</x:v>
      </x:c>
      <x:c r="U16" s="25" t="n">
        <x:f>IFERROR(INT((Parametres_Paie!$B$24-I16)/365.25),0)</x:f>
        <x:v>6</x:v>
      </x:c>
      <x:c r="V16" s="25" t="str">
        <x:f>IF(I16="","",U16&amp;" ans (calcul période)")</x:f>
        <x:v>6 ans (calcul période)</x:v>
      </x:c>
      <x:c r="W16" s="66" t="n">
        <x:f>IF(U16&lt;2,0,MIN(U16,25)/100)</x:f>
        <x:v>0.06</x:v>
      </x:c>
      <x:c r="X16" s="64" t="n">
        <x:f>ROUND(K16*W16,0)</x:f>
        <x:v>0</x:v>
      </x:c>
      <x:c r="Y16" s="64" t="n">
        <x:f>MIN(P16,Parametres_Paie!$B$11)</x:f>
        <x:v>0</x:v>
      </x:c>
      <x:c r="Z16" s="64" t="n">
        <x:f>MAX(P16-Parametres_Paie!$B$11,0)</x:f>
        <x:v>0</x:v>
      </x:c>
      <x:c r="AA16" s="64" t="n">
        <x:f>ROUND(K16+L16+X16+Q16+R16+Z16,0)</x:f>
        <x:v>0</x:v>
      </x:c>
      <x:c r="AB16" s="64" t="n">
        <x:f>IFERROR(IF(INDEX(Profils_Paie!$L:$L,MATCH($A16,Profils_Paie!$A:$A,0))="",MIN(AA16,Parametres_Paie!$B$6),MIN(INDEX(Profils_Paie!$L:$L,MATCH($A16,Profils_Paie!$A:$A,0)),Parametres_Paie!$B$6)),MIN(AA16,Parametres_Paie!$B$6))</x:f>
        <x:v>0</x:v>
      </x:c>
      <x:c r="AC16" s="64" t="n">
        <x:f>ROUND(AB16*Parametres_Paie!$B$4,0)</x:f>
        <x:v>0</x:v>
      </x:c>
      <x:c r="AD16" s="64" t="n">
        <x:f>IF(AA16&gt;0,ROUND(N16*Parametres_Paie!$B$12*Parametres_Paie!$B$13,0),0)</x:f>
        <x:v>0</x:v>
      </x:c>
      <x:c r="AE16" s="64" t="n">
        <x:f>IFERROR(INDEX(Parametres_Paie!$G$4:$G$12,MATCH(M16,Parametres_Paie!$F$4:$F$12,0)),0)</x:f>
        <x:v>0</x:v>
      </x:c>
      <x:c r="AF16" s="64" t="n">
        <x:f>ROUND(MAX(0,MAX(MIN(AA16,Parametres_Paie!$K$4)-Parametres_Paie!$J$4,0)*Parametres_Paie!$L$4+MAX(MIN(AA16,Parametres_Paie!$K$5)-Parametres_Paie!$J$5,0)*Parametres_Paie!$L$5+MAX(MIN(AA16,Parametres_Paie!$K$6)-Parametres_Paie!$J$6,0)*Parametres_Paie!$L$6+MAX(MIN(AA16,Parametres_Paie!$K$7)-Parametres_Paie!$J$7,0)*Parametres_Paie!$L$7+MAX(MIN(AA16,Parametres_Paie!$K$8)-Parametres_Paie!$J$8,0)*Parametres_Paie!$L$8+MAX(MIN(AA16,Parametres_Paie!$K$9)-Parametres_Paie!$J$9,0)*Parametres_Paie!$L$9-AE16),0)</x:f>
        <x:v>0</x:v>
      </x:c>
      <x:c r="AG16" s="64" t="n">
        <x:f>AC16+AD16+AF16</x:f>
        <x:v>0</x:v>
      </x:c>
      <x:c r="AH16" s="64" t="n">
        <x:f>ROUND(AB16*Parametres_Paie!$B$5,0)</x:f>
        <x:v>0</x:v>
      </x:c>
      <x:c r="AI16" s="64" t="n">
        <x:f>IF(AA16&gt;0,ROUND(Parametres_Paie!$B$7*Parametres_Paie!$B$8,0),0)</x:f>
        <x:v>0</x:v>
      </x:c>
      <x:c r="AJ16" s="64" t="n">
        <x:f>IF(AA16&gt;0,ROUND(Parametres_Paie!$B$7*T16,0),0)</x:f>
        <x:v>0</x:v>
      </x:c>
      <x:c r="AK16" s="64" t="n">
        <x:f>IF(AA16&gt;0,ROUND(Parametres_Paie!$B$7*Parametres_Paie!$B$9,0),0)</x:f>
        <x:v>0</x:v>
      </x:c>
      <x:c r="AL16" s="64" t="n">
        <x:f>IF(AA16&gt;0,ROUND(O16*Parametres_Paie!$B$12*Parametres_Paie!$B$14,0),0)</x:f>
        <x:v>0</x:v>
      </x:c>
      <x:c r="AM16" s="64" t="n">
        <x:f>ROUND(AA16*Parametres_Paie!$B$15,0)</x:f>
        <x:v>0</x:v>
      </x:c>
      <x:c r="AN16" s="64" t="n">
        <x:f>ROUND(AA16*Parametres_Paie!$B$16,0)</x:f>
        <x:v>0</x:v>
      </x:c>
      <x:c r="AO16" s="64" t="n">
        <x:f>ROUND(AA16*Parametres_Paie!$B$17,0)</x:f>
        <x:v>0</x:v>
      </x:c>
      <x:c r="AP16" s="64" t="n">
        <x:f>ROUND(AA16*Parametres_Paie!$B$18,0)</x:f>
        <x:v>0</x:v>
      </x:c>
      <x:c r="AQ16" s="64" t="n">
        <x:f>AH16+AI16+AJ16+AK16+AL16+AM16+AN16+AO16+AP16</x:f>
        <x:v>0</x:v>
      </x:c>
      <x:c r="AR16" s="64" t="n">
        <x:f>Y16+S16</x:f>
        <x:v>0</x:v>
      </x:c>
      <x:c r="AS16" s="64" t="n">
        <x:f>AA16+AR16</x:f>
        <x:v>0</x:v>
      </x:c>
      <x:c r="AT16" s="64" t="n">
        <x:f>AS16-AG16</x:f>
        <x:v>0</x:v>
      </x:c>
      <x:c r="AU16" s="64" t="n">
        <x:f>AS16+AQ16</x:f>
        <x:v>0</x:v>
      </x:c>
      <x:c r="AV16" s="25" t="str">
        <x:f>IF(H16&lt;&gt;"Actif","Inactif/à vérifier",IF(K16=0,"Profil paie à compléter",IF(J16="","CNPS manquant","OK")))</x:f>
        <x:v>Profil paie à compléter</x:v>
      </x:c>
      <x:c r="AW16" s="25" t="str">
        <x:f>IFERROR(HYPERLINK("#'Bulletins_Impression'!A"&amp;MATCH(A16,Bulletins_Impression!$B:$B,0),"Voir bulletin"),"Voir bulletin")</x:f>
        <x:v>Voir bulletin</x:v>
      </x:c>
    </x:row>
    <x:row r="17">
      <x:c r="A17" s="25" t="str">
        <x:v>0046J</x:v>
      </x:c>
      <x:c r="B17" s="25" t="str">
        <x:v>KOUADIO</x:v>
      </x:c>
      <x:c r="C17" s="25" t="str">
        <x:v>Konan Emmanuel</x:v>
      </x:c>
      <x:c r="D17" s="25" t="str">
        <x:v>Direction Administrative et Financière</x:v>
      </x:c>
      <x:c r="E17" s="25" t="str">
        <x:v>DAF</x:v>
      </x:c>
      <x:c r="F17" s="25" t="str">
        <x:v>Responsable des Ressources Humaines</x:v>
      </x:c>
      <x:c r="G17" s="25" t="str">
        <x:v>CDI</x:v>
      </x:c>
      <x:c r="H17" s="25" t="str">
        <x:v>Actif</x:v>
      </x:c>
      <x:c r="I17" s="54" t="n">
        <x:v>43662</x:v>
      </x:c>
      <x:c r="J17" s="25" t="n">
        <x:v>176011131367</x:v>
      </x:c>
      <x:c r="K17" s="64" t="n">
        <x:f>IFERROR(INDEX(Profils_Paie!$B:$B,MATCH($A17,Profils_Paie!$A:$A,0)),0)</x:f>
        <x:v>0</x:v>
      </x:c>
      <x:c r="L17" s="64" t="n">
        <x:f>IFERROR(INDEX(Profils_Paie!$C:$C,MATCH($A17,Profils_Paie!$A:$A,0)),0)</x:f>
        <x:v>0</x:v>
      </x:c>
      <x:c r="M17" s="25" t="n">
        <x:f>IFERROR(INDEX(Profils_Paie!$D:$D,MATCH($A17,Profils_Paie!$A:$A,0)),0)</x:f>
        <x:v>1</x:v>
      </x:c>
      <x:c r="N17" s="25" t="n">
        <x:f>IFERROR(INDEX(Profils_Paie!$E:$E,MATCH($A17,Profils_Paie!$A:$A,0)),0)</x:f>
        <x:v>1</x:v>
      </x:c>
      <x:c r="O17" s="25" t="n">
        <x:f>IFERROR(INDEX(Profils_Paie!$F:$F,MATCH($A17,Profils_Paie!$A:$A,0)),0)</x:f>
        <x:v>1</x:v>
      </x:c>
      <x:c r="P17" s="64" t="n">
        <x:f>IFERROR(INDEX(Profils_Paie!$G:$G,MATCH($A17,Profils_Paie!$A:$A,0)),0)</x:f>
        <x:v>0</x:v>
      </x:c>
      <x:c r="Q17" s="64" t="n">
        <x:f>IFERROR(INDEX(Profils_Paie!$H:$H,MATCH($A17,Profils_Paie!$A:$A,0)),0)</x:f>
        <x:v>0</x:v>
      </x:c>
      <x:c r="R17" s="64" t="n">
        <x:f>IFERROR(INDEX(Profils_Paie!$I:$I,MATCH($A17,Profils_Paie!$A:$A,0)),0)</x:f>
        <x:v>0</x:v>
      </x:c>
      <x:c r="S17" s="64" t="n">
        <x:f>IFERROR(INDEX(Profils_Paie!$J:$J,MATCH($A17,Profils_Paie!$A:$A,0)),0)</x:f>
        <x:v>0</x:v>
      </x:c>
      <x:c r="T17" s="66" t="n">
        <x:f>IFERROR(INDEX(Profils_Paie!$K:$K,MATCH($A17,Profils_Paie!$A:$A,0)),0)</x:f>
        <x:v>0.02</x:v>
      </x:c>
      <x:c r="U17" s="25" t="n">
        <x:f>IFERROR(INT((Parametres_Paie!$B$24-I17)/365.25),0)</x:f>
        <x:v>5</x:v>
      </x:c>
      <x:c r="V17" s="25" t="str">
        <x:f>IF(I17="","",U17&amp;" ans (calcul période)")</x:f>
        <x:v>5 ans (calcul période)</x:v>
      </x:c>
      <x:c r="W17" s="66" t="n">
        <x:f>IF(U17&lt;2,0,MIN(U17,25)/100)</x:f>
        <x:v>0.05</x:v>
      </x:c>
      <x:c r="X17" s="64" t="n">
        <x:f>ROUND(K17*W17,0)</x:f>
        <x:v>0</x:v>
      </x:c>
      <x:c r="Y17" s="64" t="n">
        <x:f>MIN(P17,Parametres_Paie!$B$11)</x:f>
        <x:v>0</x:v>
      </x:c>
      <x:c r="Z17" s="64" t="n">
        <x:f>MAX(P17-Parametres_Paie!$B$11,0)</x:f>
        <x:v>0</x:v>
      </x:c>
      <x:c r="AA17" s="64" t="n">
        <x:f>ROUND(K17+L17+X17+Q17+R17+Z17,0)</x:f>
        <x:v>0</x:v>
      </x:c>
      <x:c r="AB17" s="64" t="n">
        <x:f>IFERROR(IF(INDEX(Profils_Paie!$L:$L,MATCH($A17,Profils_Paie!$A:$A,0))="",MIN(AA17,Parametres_Paie!$B$6),MIN(INDEX(Profils_Paie!$L:$L,MATCH($A17,Profils_Paie!$A:$A,0)),Parametres_Paie!$B$6)),MIN(AA17,Parametres_Paie!$B$6))</x:f>
        <x:v>0</x:v>
      </x:c>
      <x:c r="AC17" s="64" t="n">
        <x:f>ROUND(AB17*Parametres_Paie!$B$4,0)</x:f>
        <x:v>0</x:v>
      </x:c>
      <x:c r="AD17" s="64" t="n">
        <x:f>IF(AA17&gt;0,ROUND(N17*Parametres_Paie!$B$12*Parametres_Paie!$B$13,0),0)</x:f>
        <x:v>0</x:v>
      </x:c>
      <x:c r="AE17" s="64" t="n">
        <x:f>IFERROR(INDEX(Parametres_Paie!$G$4:$G$12,MATCH(M17,Parametres_Paie!$F$4:$F$12,0)),0)</x:f>
        <x:v>0</x:v>
      </x:c>
      <x:c r="AF17" s="64" t="n">
        <x:f>ROUND(MAX(0,MAX(MIN(AA17,Parametres_Paie!$K$4)-Parametres_Paie!$J$4,0)*Parametres_Paie!$L$4+MAX(MIN(AA17,Parametres_Paie!$K$5)-Parametres_Paie!$J$5,0)*Parametres_Paie!$L$5+MAX(MIN(AA17,Parametres_Paie!$K$6)-Parametres_Paie!$J$6,0)*Parametres_Paie!$L$6+MAX(MIN(AA17,Parametres_Paie!$K$7)-Parametres_Paie!$J$7,0)*Parametres_Paie!$L$7+MAX(MIN(AA17,Parametres_Paie!$K$8)-Parametres_Paie!$J$8,0)*Parametres_Paie!$L$8+MAX(MIN(AA17,Parametres_Paie!$K$9)-Parametres_Paie!$J$9,0)*Parametres_Paie!$L$9-AE17),0)</x:f>
        <x:v>0</x:v>
      </x:c>
      <x:c r="AG17" s="64" t="n">
        <x:f>AC17+AD17+AF17</x:f>
        <x:v>0</x:v>
      </x:c>
      <x:c r="AH17" s="64" t="n">
        <x:f>ROUND(AB17*Parametres_Paie!$B$5,0)</x:f>
        <x:v>0</x:v>
      </x:c>
      <x:c r="AI17" s="64" t="n">
        <x:f>IF(AA17&gt;0,ROUND(Parametres_Paie!$B$7*Parametres_Paie!$B$8,0),0)</x:f>
        <x:v>0</x:v>
      </x:c>
      <x:c r="AJ17" s="64" t="n">
        <x:f>IF(AA17&gt;0,ROUND(Parametres_Paie!$B$7*T17,0),0)</x:f>
        <x:v>0</x:v>
      </x:c>
      <x:c r="AK17" s="64" t="n">
        <x:f>IF(AA17&gt;0,ROUND(Parametres_Paie!$B$7*Parametres_Paie!$B$9,0),0)</x:f>
        <x:v>0</x:v>
      </x:c>
      <x:c r="AL17" s="64" t="n">
        <x:f>IF(AA17&gt;0,ROUND(O17*Parametres_Paie!$B$12*Parametres_Paie!$B$14,0),0)</x:f>
        <x:v>0</x:v>
      </x:c>
      <x:c r="AM17" s="64" t="n">
        <x:f>ROUND(AA17*Parametres_Paie!$B$15,0)</x:f>
        <x:v>0</x:v>
      </x:c>
      <x:c r="AN17" s="64" t="n">
        <x:f>ROUND(AA17*Parametres_Paie!$B$16,0)</x:f>
        <x:v>0</x:v>
      </x:c>
      <x:c r="AO17" s="64" t="n">
        <x:f>ROUND(AA17*Parametres_Paie!$B$17,0)</x:f>
        <x:v>0</x:v>
      </x:c>
      <x:c r="AP17" s="64" t="n">
        <x:f>ROUND(AA17*Parametres_Paie!$B$18,0)</x:f>
        <x:v>0</x:v>
      </x:c>
      <x:c r="AQ17" s="64" t="n">
        <x:f>AH17+AI17+AJ17+AK17+AL17+AM17+AN17+AO17+AP17</x:f>
        <x:v>0</x:v>
      </x:c>
      <x:c r="AR17" s="64" t="n">
        <x:f>Y17+S17</x:f>
        <x:v>0</x:v>
      </x:c>
      <x:c r="AS17" s="64" t="n">
        <x:f>AA17+AR17</x:f>
        <x:v>0</x:v>
      </x:c>
      <x:c r="AT17" s="64" t="n">
        <x:f>AS17-AG17</x:f>
        <x:v>0</x:v>
      </x:c>
      <x:c r="AU17" s="64" t="n">
        <x:f>AS17+AQ17</x:f>
        <x:v>0</x:v>
      </x:c>
      <x:c r="AV17" s="25" t="str">
        <x:f>IF(H17&lt;&gt;"Actif","Inactif/à vérifier",IF(K17=0,"Profil paie à compléter",IF(J17="","CNPS manquant","OK")))</x:f>
        <x:v>Profil paie à compléter</x:v>
      </x:c>
      <x:c r="AW17" s="25" t="str">
        <x:f>IFERROR(HYPERLINK("#'Bulletins_Impression'!A"&amp;MATCH(A17,Bulletins_Impression!$B:$B,0),"Voir bulletin"),"Voir bulletin")</x:f>
        <x:v>Voir bulletin</x:v>
      </x:c>
    </x:row>
    <x:row r="18">
      <x:c r="A18" s="25" t="str">
        <x:v>0062J</x:v>
      </x:c>
      <x:c r="B18" s="25" t="str">
        <x:v>ACKUN</x:v>
      </x:c>
      <x:c r="C18" s="25" t="str">
        <x:v>AGYEIWAA Leticia</x:v>
      </x:c>
      <x:c r="D18" s="25" t="str">
        <x:v>Direction des Services aux Membres et des Programmes</x:v>
      </x:c>
      <x:c r="E18" s="25" t="str">
        <x:v>DMS</x:v>
      </x:c>
      <x:c r="F18" s="25" t="str">
        <x:v>Spécialiste en Genre Chargée de Développement des Membres</x:v>
      </x:c>
      <x:c r="G18" s="25" t="str">
        <x:v>CDI</x:v>
      </x:c>
      <x:c r="H18" s="25" t="str">
        <x:v>Actif</x:v>
      </x:c>
      <x:c r="I18" s="54" t="n">
        <x:v>44211</x:v>
      </x:c>
      <x:c r="J18" s="25" t="n">
        <x:v>202100064064</x:v>
      </x:c>
      <x:c r="K18" s="64" t="n">
        <x:f>IFERROR(INDEX(Profils_Paie!$B:$B,MATCH($A18,Profils_Paie!$A:$A,0)),0)</x:f>
        <x:v>0</x:v>
      </x:c>
      <x:c r="L18" s="64" t="n">
        <x:f>IFERROR(INDEX(Profils_Paie!$C:$C,MATCH($A18,Profils_Paie!$A:$A,0)),0)</x:f>
        <x:v>0</x:v>
      </x:c>
      <x:c r="M18" s="25" t="n">
        <x:f>IFERROR(INDEX(Profils_Paie!$D:$D,MATCH($A18,Profils_Paie!$A:$A,0)),0)</x:f>
        <x:v>1</x:v>
      </x:c>
      <x:c r="N18" s="25" t="n">
        <x:f>IFERROR(INDEX(Profils_Paie!$E:$E,MATCH($A18,Profils_Paie!$A:$A,0)),0)</x:f>
        <x:v>1</x:v>
      </x:c>
      <x:c r="O18" s="25" t="n">
        <x:f>IFERROR(INDEX(Profils_Paie!$F:$F,MATCH($A18,Profils_Paie!$A:$A,0)),0)</x:f>
        <x:v>1</x:v>
      </x:c>
      <x:c r="P18" s="64" t="n">
        <x:f>IFERROR(INDEX(Profils_Paie!$G:$G,MATCH($A18,Profils_Paie!$A:$A,0)),0)</x:f>
        <x:v>0</x:v>
      </x:c>
      <x:c r="Q18" s="64" t="n">
        <x:f>IFERROR(INDEX(Profils_Paie!$H:$H,MATCH($A18,Profils_Paie!$A:$A,0)),0)</x:f>
        <x:v>0</x:v>
      </x:c>
      <x:c r="R18" s="64" t="n">
        <x:f>IFERROR(INDEX(Profils_Paie!$I:$I,MATCH($A18,Profils_Paie!$A:$A,0)),0)</x:f>
        <x:v>0</x:v>
      </x:c>
      <x:c r="S18" s="64" t="n">
        <x:f>IFERROR(INDEX(Profils_Paie!$J:$J,MATCH($A18,Profils_Paie!$A:$A,0)),0)</x:f>
        <x:v>0</x:v>
      </x:c>
      <x:c r="T18" s="66" t="n">
        <x:f>IFERROR(INDEX(Profils_Paie!$K:$K,MATCH($A18,Profils_Paie!$A:$A,0)),0)</x:f>
        <x:v>0.02</x:v>
      </x:c>
      <x:c r="U18" s="25" t="n">
        <x:f>IFERROR(INT((Parametres_Paie!$B$24-I18)/365.25),0)</x:f>
        <x:v>4</x:v>
      </x:c>
      <x:c r="V18" s="25" t="str">
        <x:f>IF(I18="","",U18&amp;" ans (calcul période)")</x:f>
        <x:v>4 ans (calcul période)</x:v>
      </x:c>
      <x:c r="W18" s="66" t="n">
        <x:f>IF(U18&lt;2,0,MIN(U18,25)/100)</x:f>
        <x:v>0.04</x:v>
      </x:c>
      <x:c r="X18" s="64" t="n">
        <x:f>ROUND(K18*W18,0)</x:f>
        <x:v>0</x:v>
      </x:c>
      <x:c r="Y18" s="64" t="n">
        <x:f>MIN(P18,Parametres_Paie!$B$11)</x:f>
        <x:v>0</x:v>
      </x:c>
      <x:c r="Z18" s="64" t="n">
        <x:f>MAX(P18-Parametres_Paie!$B$11,0)</x:f>
        <x:v>0</x:v>
      </x:c>
      <x:c r="AA18" s="64" t="n">
        <x:f>ROUND(K18+L18+X18+Q18+R18+Z18,0)</x:f>
        <x:v>0</x:v>
      </x:c>
      <x:c r="AB18" s="64" t="n">
        <x:f>IFERROR(IF(INDEX(Profils_Paie!$L:$L,MATCH($A18,Profils_Paie!$A:$A,0))="",MIN(AA18,Parametres_Paie!$B$6),MIN(INDEX(Profils_Paie!$L:$L,MATCH($A18,Profils_Paie!$A:$A,0)),Parametres_Paie!$B$6)),MIN(AA18,Parametres_Paie!$B$6))</x:f>
        <x:v>0</x:v>
      </x:c>
      <x:c r="AC18" s="64" t="n">
        <x:f>ROUND(AB18*Parametres_Paie!$B$4,0)</x:f>
        <x:v>0</x:v>
      </x:c>
      <x:c r="AD18" s="64" t="n">
        <x:f>IF(AA18&gt;0,ROUND(N18*Parametres_Paie!$B$12*Parametres_Paie!$B$13,0),0)</x:f>
        <x:v>0</x:v>
      </x:c>
      <x:c r="AE18" s="64" t="n">
        <x:f>IFERROR(INDEX(Parametres_Paie!$G$4:$G$12,MATCH(M18,Parametres_Paie!$F$4:$F$12,0)),0)</x:f>
        <x:v>0</x:v>
      </x:c>
      <x:c r="AF18" s="64" t="n">
        <x:f>ROUND(MAX(0,MAX(MIN(AA18,Parametres_Paie!$K$4)-Parametres_Paie!$J$4,0)*Parametres_Paie!$L$4+MAX(MIN(AA18,Parametres_Paie!$K$5)-Parametres_Paie!$J$5,0)*Parametres_Paie!$L$5+MAX(MIN(AA18,Parametres_Paie!$K$6)-Parametres_Paie!$J$6,0)*Parametres_Paie!$L$6+MAX(MIN(AA18,Parametres_Paie!$K$7)-Parametres_Paie!$J$7,0)*Parametres_Paie!$L$7+MAX(MIN(AA18,Parametres_Paie!$K$8)-Parametres_Paie!$J$8,0)*Parametres_Paie!$L$8+MAX(MIN(AA18,Parametres_Paie!$K$9)-Parametres_Paie!$J$9,0)*Parametres_Paie!$L$9-AE18),0)</x:f>
        <x:v>0</x:v>
      </x:c>
      <x:c r="AG18" s="64" t="n">
        <x:f>AC18+AD18+AF18</x:f>
        <x:v>0</x:v>
      </x:c>
      <x:c r="AH18" s="64" t="n">
        <x:f>ROUND(AB18*Parametres_Paie!$B$5,0)</x:f>
        <x:v>0</x:v>
      </x:c>
      <x:c r="AI18" s="64" t="n">
        <x:f>IF(AA18&gt;0,ROUND(Parametres_Paie!$B$7*Parametres_Paie!$B$8,0),0)</x:f>
        <x:v>0</x:v>
      </x:c>
      <x:c r="AJ18" s="64" t="n">
        <x:f>IF(AA18&gt;0,ROUND(Parametres_Paie!$B$7*T18,0),0)</x:f>
        <x:v>0</x:v>
      </x:c>
      <x:c r="AK18" s="64" t="n">
        <x:f>IF(AA18&gt;0,ROUND(Parametres_Paie!$B$7*Parametres_Paie!$B$9,0),0)</x:f>
        <x:v>0</x:v>
      </x:c>
      <x:c r="AL18" s="64" t="n">
        <x:f>IF(AA18&gt;0,ROUND(O18*Parametres_Paie!$B$12*Parametres_Paie!$B$14,0),0)</x:f>
        <x:v>0</x:v>
      </x:c>
      <x:c r="AM18" s="64" t="n">
        <x:f>ROUND(AA18*Parametres_Paie!$B$15,0)</x:f>
        <x:v>0</x:v>
      </x:c>
      <x:c r="AN18" s="64" t="n">
        <x:f>ROUND(AA18*Parametres_Paie!$B$16,0)</x:f>
        <x:v>0</x:v>
      </x:c>
      <x:c r="AO18" s="64" t="n">
        <x:f>ROUND(AA18*Parametres_Paie!$B$17,0)</x:f>
        <x:v>0</x:v>
      </x:c>
      <x:c r="AP18" s="64" t="n">
        <x:f>ROUND(AA18*Parametres_Paie!$B$18,0)</x:f>
        <x:v>0</x:v>
      </x:c>
      <x:c r="AQ18" s="64" t="n">
        <x:f>AH18+AI18+AJ18+AK18+AL18+AM18+AN18+AO18+AP18</x:f>
        <x:v>0</x:v>
      </x:c>
      <x:c r="AR18" s="64" t="n">
        <x:f>Y18+S18</x:f>
        <x:v>0</x:v>
      </x:c>
      <x:c r="AS18" s="64" t="n">
        <x:f>AA18+AR18</x:f>
        <x:v>0</x:v>
      </x:c>
      <x:c r="AT18" s="64" t="n">
        <x:f>AS18-AG18</x:f>
        <x:v>0</x:v>
      </x:c>
      <x:c r="AU18" s="64" t="n">
        <x:f>AS18+AQ18</x:f>
        <x:v>0</x:v>
      </x:c>
      <x:c r="AV18" s="25" t="str">
        <x:f>IF(H18&lt;&gt;"Actif","Inactif/à vérifier",IF(K18=0,"Profil paie à compléter",IF(J18="","CNPS manquant","OK")))</x:f>
        <x:v>Profil paie à compléter</x:v>
      </x:c>
      <x:c r="AW18" s="25" t="str">
        <x:f>IFERROR(HYPERLINK("#'Bulletins_Impression'!A"&amp;MATCH(A18,Bulletins_Impression!$B:$B,0),"Voir bulletin"),"Voir bulletin")</x:f>
        <x:v>Voir bulletin</x:v>
      </x:c>
    </x:row>
    <x:row r="19">
      <x:c r="A19" s="25" t="str">
        <x:v>0073D</x:v>
      </x:c>
      <x:c r="B19" s="25" t="str">
        <x:v>COULIBALY BA</x:v>
      </x:c>
      <x:c r="C19" s="25" t="str">
        <x:v>Mariame</x:v>
      </x:c>
      <x:c r="D19" s="25" t="str">
        <x:v>Cabinet de la Direction Exécutive</x:v>
      </x:c>
      <x:c r="E19" s="25" t="str">
        <x:v>Cabinet DEX</x:v>
      </x:c>
      <x:c r="F19" s="25" t="str">
        <x:v>Assistante du Directeur Executif</x:v>
      </x:c>
      <x:c r="G19" s="25" t="str">
        <x:v>CDI</x:v>
      </x:c>
      <x:c r="H19" s="25" t="str">
        <x:v>Actif</x:v>
      </x:c>
      <x:c r="I19" s="54" t="n">
        <x:v>44536</x:v>
      </x:c>
      <x:c r="J19" s="25" t="n">
        <x:v>277010418099</x:v>
      </x:c>
      <x:c r="K19" s="64" t="n">
        <x:f>IFERROR(INDEX(Profils_Paie!$B:$B,MATCH($A19,Profils_Paie!$A:$A,0)),0)</x:f>
        <x:v>0</x:v>
      </x:c>
      <x:c r="L19" s="64" t="n">
        <x:f>IFERROR(INDEX(Profils_Paie!$C:$C,MATCH($A19,Profils_Paie!$A:$A,0)),0)</x:f>
        <x:v>0</x:v>
      </x:c>
      <x:c r="M19" s="25" t="n">
        <x:f>IFERROR(INDEX(Profils_Paie!$D:$D,MATCH($A19,Profils_Paie!$A:$A,0)),0)</x:f>
        <x:v>1</x:v>
      </x:c>
      <x:c r="N19" s="25" t="n">
        <x:f>IFERROR(INDEX(Profils_Paie!$E:$E,MATCH($A19,Profils_Paie!$A:$A,0)),0)</x:f>
        <x:v>1</x:v>
      </x:c>
      <x:c r="O19" s="25" t="n">
        <x:f>IFERROR(INDEX(Profils_Paie!$F:$F,MATCH($A19,Profils_Paie!$A:$A,0)),0)</x:f>
        <x:v>1</x:v>
      </x:c>
      <x:c r="P19" s="64" t="n">
        <x:f>IFERROR(INDEX(Profils_Paie!$G:$G,MATCH($A19,Profils_Paie!$A:$A,0)),0)</x:f>
        <x:v>0</x:v>
      </x:c>
      <x:c r="Q19" s="64" t="n">
        <x:f>IFERROR(INDEX(Profils_Paie!$H:$H,MATCH($A19,Profils_Paie!$A:$A,0)),0)</x:f>
        <x:v>0</x:v>
      </x:c>
      <x:c r="R19" s="64" t="n">
        <x:f>IFERROR(INDEX(Profils_Paie!$I:$I,MATCH($A19,Profils_Paie!$A:$A,0)),0)</x:f>
        <x:v>0</x:v>
      </x:c>
      <x:c r="S19" s="64" t="n">
        <x:f>IFERROR(INDEX(Profils_Paie!$J:$J,MATCH($A19,Profils_Paie!$A:$A,0)),0)</x:f>
        <x:v>0</x:v>
      </x:c>
      <x:c r="T19" s="66" t="n">
        <x:f>IFERROR(INDEX(Profils_Paie!$K:$K,MATCH($A19,Profils_Paie!$A:$A,0)),0)</x:f>
        <x:v>0.02</x:v>
      </x:c>
      <x:c r="U19" s="25" t="n">
        <x:f>IFERROR(INT((Parametres_Paie!$B$24-I19)/365.25),0)</x:f>
        <x:v>3</x:v>
      </x:c>
      <x:c r="V19" s="25" t="str">
        <x:f>IF(I19="","",U19&amp;" ans (calcul période)")</x:f>
        <x:v>3 ans (calcul période)</x:v>
      </x:c>
      <x:c r="W19" s="66" t="n">
        <x:f>IF(U19&lt;2,0,MIN(U19,25)/100)</x:f>
        <x:v>0.03</x:v>
      </x:c>
      <x:c r="X19" s="64" t="n">
        <x:f>ROUND(K19*W19,0)</x:f>
        <x:v>0</x:v>
      </x:c>
      <x:c r="Y19" s="64" t="n">
        <x:f>MIN(P19,Parametres_Paie!$B$11)</x:f>
        <x:v>0</x:v>
      </x:c>
      <x:c r="Z19" s="64" t="n">
        <x:f>MAX(P19-Parametres_Paie!$B$11,0)</x:f>
        <x:v>0</x:v>
      </x:c>
      <x:c r="AA19" s="64" t="n">
        <x:f>ROUND(K19+L19+X19+Q19+R19+Z19,0)</x:f>
        <x:v>0</x:v>
      </x:c>
      <x:c r="AB19" s="64" t="n">
        <x:f>IFERROR(IF(INDEX(Profils_Paie!$L:$L,MATCH($A19,Profils_Paie!$A:$A,0))="",MIN(AA19,Parametres_Paie!$B$6),MIN(INDEX(Profils_Paie!$L:$L,MATCH($A19,Profils_Paie!$A:$A,0)),Parametres_Paie!$B$6)),MIN(AA19,Parametres_Paie!$B$6))</x:f>
        <x:v>0</x:v>
      </x:c>
      <x:c r="AC19" s="64" t="n">
        <x:f>ROUND(AB19*Parametres_Paie!$B$4,0)</x:f>
        <x:v>0</x:v>
      </x:c>
      <x:c r="AD19" s="64" t="n">
        <x:f>IF(AA19&gt;0,ROUND(N19*Parametres_Paie!$B$12*Parametres_Paie!$B$13,0),0)</x:f>
        <x:v>0</x:v>
      </x:c>
      <x:c r="AE19" s="64" t="n">
        <x:f>IFERROR(INDEX(Parametres_Paie!$G$4:$G$12,MATCH(M19,Parametres_Paie!$F$4:$F$12,0)),0)</x:f>
        <x:v>0</x:v>
      </x:c>
      <x:c r="AF19" s="64" t="n">
        <x:f>ROUND(MAX(0,MAX(MIN(AA19,Parametres_Paie!$K$4)-Parametres_Paie!$J$4,0)*Parametres_Paie!$L$4+MAX(MIN(AA19,Parametres_Paie!$K$5)-Parametres_Paie!$J$5,0)*Parametres_Paie!$L$5+MAX(MIN(AA19,Parametres_Paie!$K$6)-Parametres_Paie!$J$6,0)*Parametres_Paie!$L$6+MAX(MIN(AA19,Parametres_Paie!$K$7)-Parametres_Paie!$J$7,0)*Parametres_Paie!$L$7+MAX(MIN(AA19,Parametres_Paie!$K$8)-Parametres_Paie!$J$8,0)*Parametres_Paie!$L$8+MAX(MIN(AA19,Parametres_Paie!$K$9)-Parametres_Paie!$J$9,0)*Parametres_Paie!$L$9-AE19),0)</x:f>
        <x:v>0</x:v>
      </x:c>
      <x:c r="AG19" s="64" t="n">
        <x:f>AC19+AD19+AF19</x:f>
        <x:v>0</x:v>
      </x:c>
      <x:c r="AH19" s="64" t="n">
        <x:f>ROUND(AB19*Parametres_Paie!$B$5,0)</x:f>
        <x:v>0</x:v>
      </x:c>
      <x:c r="AI19" s="64" t="n">
        <x:f>IF(AA19&gt;0,ROUND(Parametres_Paie!$B$7*Parametres_Paie!$B$8,0),0)</x:f>
        <x:v>0</x:v>
      </x:c>
      <x:c r="AJ19" s="64" t="n">
        <x:f>IF(AA19&gt;0,ROUND(Parametres_Paie!$B$7*T19,0),0)</x:f>
        <x:v>0</x:v>
      </x:c>
      <x:c r="AK19" s="64" t="n">
        <x:f>IF(AA19&gt;0,ROUND(Parametres_Paie!$B$7*Parametres_Paie!$B$9,0),0)</x:f>
        <x:v>0</x:v>
      </x:c>
      <x:c r="AL19" s="64" t="n">
        <x:f>IF(AA19&gt;0,ROUND(O19*Parametres_Paie!$B$12*Parametres_Paie!$B$14,0),0)</x:f>
        <x:v>0</x:v>
      </x:c>
      <x:c r="AM19" s="64" t="n">
        <x:f>ROUND(AA19*Parametres_Paie!$B$15,0)</x:f>
        <x:v>0</x:v>
      </x:c>
      <x:c r="AN19" s="64" t="n">
        <x:f>ROUND(AA19*Parametres_Paie!$B$16,0)</x:f>
        <x:v>0</x:v>
      </x:c>
      <x:c r="AO19" s="64" t="n">
        <x:f>ROUND(AA19*Parametres_Paie!$B$17,0)</x:f>
        <x:v>0</x:v>
      </x:c>
      <x:c r="AP19" s="64" t="n">
        <x:f>ROUND(AA19*Parametres_Paie!$B$18,0)</x:f>
        <x:v>0</x:v>
      </x:c>
      <x:c r="AQ19" s="64" t="n">
        <x:f>AH19+AI19+AJ19+AK19+AL19+AM19+AN19+AO19+AP19</x:f>
        <x:v>0</x:v>
      </x:c>
      <x:c r="AR19" s="64" t="n">
        <x:f>Y19+S19</x:f>
        <x:v>0</x:v>
      </x:c>
      <x:c r="AS19" s="64" t="n">
        <x:f>AA19+AR19</x:f>
        <x:v>0</x:v>
      </x:c>
      <x:c r="AT19" s="64" t="n">
        <x:f>AS19-AG19</x:f>
        <x:v>0</x:v>
      </x:c>
      <x:c r="AU19" s="64" t="n">
        <x:f>AS19+AQ19</x:f>
        <x:v>0</x:v>
      </x:c>
      <x:c r="AV19" s="25" t="str">
        <x:f>IF(H19&lt;&gt;"Actif","Inactif/à vérifier",IF(K19=0,"Profil paie à compléter",IF(J19="","CNPS manquant","OK")))</x:f>
        <x:v>Profil paie à compléter</x:v>
      </x:c>
      <x:c r="AW19" s="25" t="str">
        <x:f>IFERROR(HYPERLINK("#'Bulletins_Impression'!A"&amp;MATCH(A19,Bulletins_Impression!$B:$B,0),"Voir bulletin"),"Voir bulletin")</x:f>
        <x:v>Voir bulletin</x:v>
      </x:c>
    </x:row>
    <x:row r="20">
      <x:c r="A20" s="25" t="str">
        <x:v>0074J</x:v>
      </x:c>
      <x:c r="B20" s="25" t="str">
        <x:v>DIEZAHI</x:v>
      </x:c>
      <x:c r="C20" s="25" t="str">
        <x:v>Dominique</x:v>
      </x:c>
      <x:c r="D20" s="25" t="str">
        <x:v>Direction Administrative et Financière</x:v>
      </x:c>
      <x:c r="E20" s="25" t="str">
        <x:v>DAF</x:v>
      </x:c>
      <x:c r="F20" s="25" t="str">
        <x:v>Chauffeur Coursier</x:v>
      </x:c>
      <x:c r="G20" s="25" t="str">
        <x:v>CDI</x:v>
      </x:c>
      <x:c r="H20" s="25" t="str">
        <x:v>Actif</x:v>
      </x:c>
      <x:c r="I20" s="54" t="n">
        <x:v>44562</x:v>
      </x:c>
      <x:c r="J20" s="25" t="n">
        <x:v>172010138894</x:v>
      </x:c>
      <x:c r="K20" s="64" t="n">
        <x:f>IFERROR(INDEX(Profils_Paie!$B:$B,MATCH($A20,Profils_Paie!$A:$A,0)),0)</x:f>
        <x:v>0</x:v>
      </x:c>
      <x:c r="L20" s="64" t="n">
        <x:f>IFERROR(INDEX(Profils_Paie!$C:$C,MATCH($A20,Profils_Paie!$A:$A,0)),0)</x:f>
        <x:v>0</x:v>
      </x:c>
      <x:c r="M20" s="25" t="n">
        <x:f>IFERROR(INDEX(Profils_Paie!$D:$D,MATCH($A20,Profils_Paie!$A:$A,0)),0)</x:f>
        <x:v>1</x:v>
      </x:c>
      <x:c r="N20" s="25" t="n">
        <x:f>IFERROR(INDEX(Profils_Paie!$E:$E,MATCH($A20,Profils_Paie!$A:$A,0)),0)</x:f>
        <x:v>1</x:v>
      </x:c>
      <x:c r="O20" s="25" t="n">
        <x:f>IFERROR(INDEX(Profils_Paie!$F:$F,MATCH($A20,Profils_Paie!$A:$A,0)),0)</x:f>
        <x:v>1</x:v>
      </x:c>
      <x:c r="P20" s="64" t="n">
        <x:f>IFERROR(INDEX(Profils_Paie!$G:$G,MATCH($A20,Profils_Paie!$A:$A,0)),0)</x:f>
        <x:v>0</x:v>
      </x:c>
      <x:c r="Q20" s="64" t="n">
        <x:f>IFERROR(INDEX(Profils_Paie!$H:$H,MATCH($A20,Profils_Paie!$A:$A,0)),0)</x:f>
        <x:v>0</x:v>
      </x:c>
      <x:c r="R20" s="64" t="n">
        <x:f>IFERROR(INDEX(Profils_Paie!$I:$I,MATCH($A20,Profils_Paie!$A:$A,0)),0)</x:f>
        <x:v>0</x:v>
      </x:c>
      <x:c r="S20" s="64" t="n">
        <x:f>IFERROR(INDEX(Profils_Paie!$J:$J,MATCH($A20,Profils_Paie!$A:$A,0)),0)</x:f>
        <x:v>0</x:v>
      </x:c>
      <x:c r="T20" s="66" t="n">
        <x:f>IFERROR(INDEX(Profils_Paie!$K:$K,MATCH($A20,Profils_Paie!$A:$A,0)),0)</x:f>
        <x:v>0.02</x:v>
      </x:c>
      <x:c r="U20" s="25" t="n">
        <x:f>IFERROR(INT((Parametres_Paie!$B$24-I20)/365.25),0)</x:f>
        <x:v>3</x:v>
      </x:c>
      <x:c r="V20" s="25" t="str">
        <x:f>IF(I20="","",U20&amp;" ans (calcul période)")</x:f>
        <x:v>3 ans (calcul période)</x:v>
      </x:c>
      <x:c r="W20" s="66" t="n">
        <x:f>IF(U20&lt;2,0,MIN(U20,25)/100)</x:f>
        <x:v>0.03</x:v>
      </x:c>
      <x:c r="X20" s="64" t="n">
        <x:f>ROUND(K20*W20,0)</x:f>
        <x:v>0</x:v>
      </x:c>
      <x:c r="Y20" s="64" t="n">
        <x:f>MIN(P20,Parametres_Paie!$B$11)</x:f>
        <x:v>0</x:v>
      </x:c>
      <x:c r="Z20" s="64" t="n">
        <x:f>MAX(P20-Parametres_Paie!$B$11,0)</x:f>
        <x:v>0</x:v>
      </x:c>
      <x:c r="AA20" s="64" t="n">
        <x:f>ROUND(K20+L20+X20+Q20+R20+Z20,0)</x:f>
        <x:v>0</x:v>
      </x:c>
      <x:c r="AB20" s="64" t="n">
        <x:f>IFERROR(IF(INDEX(Profils_Paie!$L:$L,MATCH($A20,Profils_Paie!$A:$A,0))="",MIN(AA20,Parametres_Paie!$B$6),MIN(INDEX(Profils_Paie!$L:$L,MATCH($A20,Profils_Paie!$A:$A,0)),Parametres_Paie!$B$6)),MIN(AA20,Parametres_Paie!$B$6))</x:f>
        <x:v>0</x:v>
      </x:c>
      <x:c r="AC20" s="64" t="n">
        <x:f>ROUND(AB20*Parametres_Paie!$B$4,0)</x:f>
        <x:v>0</x:v>
      </x:c>
      <x:c r="AD20" s="64" t="n">
        <x:f>IF(AA20&gt;0,ROUND(N20*Parametres_Paie!$B$12*Parametres_Paie!$B$13,0),0)</x:f>
        <x:v>0</x:v>
      </x:c>
      <x:c r="AE20" s="64" t="n">
        <x:f>IFERROR(INDEX(Parametres_Paie!$G$4:$G$12,MATCH(M20,Parametres_Paie!$F$4:$F$12,0)),0)</x:f>
        <x:v>0</x:v>
      </x:c>
      <x:c r="AF20" s="64" t="n">
        <x:f>ROUND(MAX(0,MAX(MIN(AA20,Parametres_Paie!$K$4)-Parametres_Paie!$J$4,0)*Parametres_Paie!$L$4+MAX(MIN(AA20,Parametres_Paie!$K$5)-Parametres_Paie!$J$5,0)*Parametres_Paie!$L$5+MAX(MIN(AA20,Parametres_Paie!$K$6)-Parametres_Paie!$J$6,0)*Parametres_Paie!$L$6+MAX(MIN(AA20,Parametres_Paie!$K$7)-Parametres_Paie!$J$7,0)*Parametres_Paie!$L$7+MAX(MIN(AA20,Parametres_Paie!$K$8)-Parametres_Paie!$J$8,0)*Parametres_Paie!$L$8+MAX(MIN(AA20,Parametres_Paie!$K$9)-Parametres_Paie!$J$9,0)*Parametres_Paie!$L$9-AE20),0)</x:f>
        <x:v>0</x:v>
      </x:c>
      <x:c r="AG20" s="64" t="n">
        <x:f>AC20+AD20+AF20</x:f>
        <x:v>0</x:v>
      </x:c>
      <x:c r="AH20" s="64" t="n">
        <x:f>ROUND(AB20*Parametres_Paie!$B$5,0)</x:f>
        <x:v>0</x:v>
      </x:c>
      <x:c r="AI20" s="64" t="n">
        <x:f>IF(AA20&gt;0,ROUND(Parametres_Paie!$B$7*Parametres_Paie!$B$8,0),0)</x:f>
        <x:v>0</x:v>
      </x:c>
      <x:c r="AJ20" s="64" t="n">
        <x:f>IF(AA20&gt;0,ROUND(Parametres_Paie!$B$7*T20,0),0)</x:f>
        <x:v>0</x:v>
      </x:c>
      <x:c r="AK20" s="64" t="n">
        <x:f>IF(AA20&gt;0,ROUND(Parametres_Paie!$B$7*Parametres_Paie!$B$9,0),0)</x:f>
        <x:v>0</x:v>
      </x:c>
      <x:c r="AL20" s="64" t="n">
        <x:f>IF(AA20&gt;0,ROUND(O20*Parametres_Paie!$B$12*Parametres_Paie!$B$14,0),0)</x:f>
        <x:v>0</x:v>
      </x:c>
      <x:c r="AM20" s="64" t="n">
        <x:f>ROUND(AA20*Parametres_Paie!$B$15,0)</x:f>
        <x:v>0</x:v>
      </x:c>
      <x:c r="AN20" s="64" t="n">
        <x:f>ROUND(AA20*Parametres_Paie!$B$16,0)</x:f>
        <x:v>0</x:v>
      </x:c>
      <x:c r="AO20" s="64" t="n">
        <x:f>ROUND(AA20*Parametres_Paie!$B$17,0)</x:f>
        <x:v>0</x:v>
      </x:c>
      <x:c r="AP20" s="64" t="n">
        <x:f>ROUND(AA20*Parametres_Paie!$B$18,0)</x:f>
        <x:v>0</x:v>
      </x:c>
      <x:c r="AQ20" s="64" t="n">
        <x:f>AH20+AI20+AJ20+AK20+AL20+AM20+AN20+AO20+AP20</x:f>
        <x:v>0</x:v>
      </x:c>
      <x:c r="AR20" s="64" t="n">
        <x:f>Y20+S20</x:f>
        <x:v>0</x:v>
      </x:c>
      <x:c r="AS20" s="64" t="n">
        <x:f>AA20+AR20</x:f>
        <x:v>0</x:v>
      </x:c>
      <x:c r="AT20" s="64" t="n">
        <x:f>AS20-AG20</x:f>
        <x:v>0</x:v>
      </x:c>
      <x:c r="AU20" s="64" t="n">
        <x:f>AS20+AQ20</x:f>
        <x:v>0</x:v>
      </x:c>
      <x:c r="AV20" s="25" t="str">
        <x:f>IF(H20&lt;&gt;"Actif","Inactif/à vérifier",IF(K20=0,"Profil paie à compléter",IF(J20="","CNPS manquant","OK")))</x:f>
        <x:v>Profil paie à compléter</x:v>
      </x:c>
      <x:c r="AW20" s="25" t="str">
        <x:f>IFERROR(HYPERLINK("#'Bulletins_Impression'!A"&amp;MATCH(A20,Bulletins_Impression!$B:$B,0),"Voir bulletin"),"Voir bulletin")</x:f>
        <x:v>Voir bulletin</x:v>
      </x:c>
    </x:row>
    <x:row r="21">
      <x:c r="A21" s="25" t="str">
        <x:v>0075J</x:v>
      </x:c>
      <x:c r="B21" s="25" t="str">
        <x:v>MABIO</x:v>
      </x:c>
      <x:c r="C21" s="25" t="str">
        <x:v>Olivier Franck De Sales</x:v>
      </x:c>
      <x:c r="D21" s="25" t="str">
        <x:v>Direction Administrative et Financière</x:v>
      </x:c>
      <x:c r="E21" s="25" t="str">
        <x:v>DAF</x:v>
      </x:c>
      <x:c r="F21" s="25" t="str">
        <x:v>Assistant Comptabilité Générale</x:v>
      </x:c>
      <x:c r="G21" s="25" t="str">
        <x:v>CDI</x:v>
      </x:c>
      <x:c r="H21" s="25" t="str">
        <x:v>Actif</x:v>
      </x:c>
      <x:c r="I21" s="54" t="n">
        <x:v>44562</x:v>
      </x:c>
      <x:c r="J21" s="25" t="n">
        <x:v>202200051913</x:v>
      </x:c>
      <x:c r="K21" s="64" t="n">
        <x:f>IFERROR(INDEX(Profils_Paie!$B:$B,MATCH($A21,Profils_Paie!$A:$A,0)),0)</x:f>
        <x:v>0</x:v>
      </x:c>
      <x:c r="L21" s="64" t="n">
        <x:f>IFERROR(INDEX(Profils_Paie!$C:$C,MATCH($A21,Profils_Paie!$A:$A,0)),0)</x:f>
        <x:v>0</x:v>
      </x:c>
      <x:c r="M21" s="25" t="n">
        <x:f>IFERROR(INDEX(Profils_Paie!$D:$D,MATCH($A21,Profils_Paie!$A:$A,0)),0)</x:f>
        <x:v>1</x:v>
      </x:c>
      <x:c r="N21" s="25" t="n">
        <x:f>IFERROR(INDEX(Profils_Paie!$E:$E,MATCH($A21,Profils_Paie!$A:$A,0)),0)</x:f>
        <x:v>1</x:v>
      </x:c>
      <x:c r="O21" s="25" t="n">
        <x:f>IFERROR(INDEX(Profils_Paie!$F:$F,MATCH($A21,Profils_Paie!$A:$A,0)),0)</x:f>
        <x:v>1</x:v>
      </x:c>
      <x:c r="P21" s="64" t="n">
        <x:f>IFERROR(INDEX(Profils_Paie!$G:$G,MATCH($A21,Profils_Paie!$A:$A,0)),0)</x:f>
        <x:v>0</x:v>
      </x:c>
      <x:c r="Q21" s="64" t="n">
        <x:f>IFERROR(INDEX(Profils_Paie!$H:$H,MATCH($A21,Profils_Paie!$A:$A,0)),0)</x:f>
        <x:v>0</x:v>
      </x:c>
      <x:c r="R21" s="64" t="n">
        <x:f>IFERROR(INDEX(Profils_Paie!$I:$I,MATCH($A21,Profils_Paie!$A:$A,0)),0)</x:f>
        <x:v>0</x:v>
      </x:c>
      <x:c r="S21" s="64" t="n">
        <x:f>IFERROR(INDEX(Profils_Paie!$J:$J,MATCH($A21,Profils_Paie!$A:$A,0)),0)</x:f>
        <x:v>0</x:v>
      </x:c>
      <x:c r="T21" s="66" t="n">
        <x:f>IFERROR(INDEX(Profils_Paie!$K:$K,MATCH($A21,Profils_Paie!$A:$A,0)),0)</x:f>
        <x:v>0.02</x:v>
      </x:c>
      <x:c r="U21" s="25" t="n">
        <x:f>IFERROR(INT((Parametres_Paie!$B$24-I21)/365.25),0)</x:f>
        <x:v>3</x:v>
      </x:c>
      <x:c r="V21" s="25" t="str">
        <x:f>IF(I21="","",U21&amp;" ans (calcul période)")</x:f>
        <x:v>3 ans (calcul période)</x:v>
      </x:c>
      <x:c r="W21" s="66" t="n">
        <x:f>IF(U21&lt;2,0,MIN(U21,25)/100)</x:f>
        <x:v>0.03</x:v>
      </x:c>
      <x:c r="X21" s="64" t="n">
        <x:f>ROUND(K21*W21,0)</x:f>
        <x:v>0</x:v>
      </x:c>
      <x:c r="Y21" s="64" t="n">
        <x:f>MIN(P21,Parametres_Paie!$B$11)</x:f>
        <x:v>0</x:v>
      </x:c>
      <x:c r="Z21" s="64" t="n">
        <x:f>MAX(P21-Parametres_Paie!$B$11,0)</x:f>
        <x:v>0</x:v>
      </x:c>
      <x:c r="AA21" s="64" t="n">
        <x:f>ROUND(K21+L21+X21+Q21+R21+Z21,0)</x:f>
        <x:v>0</x:v>
      </x:c>
      <x:c r="AB21" s="64" t="n">
        <x:f>IFERROR(IF(INDEX(Profils_Paie!$L:$L,MATCH($A21,Profils_Paie!$A:$A,0))="",MIN(AA21,Parametres_Paie!$B$6),MIN(INDEX(Profils_Paie!$L:$L,MATCH($A21,Profils_Paie!$A:$A,0)),Parametres_Paie!$B$6)),MIN(AA21,Parametres_Paie!$B$6))</x:f>
        <x:v>0</x:v>
      </x:c>
      <x:c r="AC21" s="64" t="n">
        <x:f>ROUND(AB21*Parametres_Paie!$B$4,0)</x:f>
        <x:v>0</x:v>
      </x:c>
      <x:c r="AD21" s="64" t="n">
        <x:f>IF(AA21&gt;0,ROUND(N21*Parametres_Paie!$B$12*Parametres_Paie!$B$13,0),0)</x:f>
        <x:v>0</x:v>
      </x:c>
      <x:c r="AE21" s="64" t="n">
        <x:f>IFERROR(INDEX(Parametres_Paie!$G$4:$G$12,MATCH(M21,Parametres_Paie!$F$4:$F$12,0)),0)</x:f>
        <x:v>0</x:v>
      </x:c>
      <x:c r="AF21" s="64" t="n">
        <x:f>ROUND(MAX(0,MAX(MIN(AA21,Parametres_Paie!$K$4)-Parametres_Paie!$J$4,0)*Parametres_Paie!$L$4+MAX(MIN(AA21,Parametres_Paie!$K$5)-Parametres_Paie!$J$5,0)*Parametres_Paie!$L$5+MAX(MIN(AA21,Parametres_Paie!$K$6)-Parametres_Paie!$J$6,0)*Parametres_Paie!$L$6+MAX(MIN(AA21,Parametres_Paie!$K$7)-Parametres_Paie!$J$7,0)*Parametres_Paie!$L$7+MAX(MIN(AA21,Parametres_Paie!$K$8)-Parametres_Paie!$J$8,0)*Parametres_Paie!$L$8+MAX(MIN(AA21,Parametres_Paie!$K$9)-Parametres_Paie!$J$9,0)*Parametres_Paie!$L$9-AE21),0)</x:f>
        <x:v>0</x:v>
      </x:c>
      <x:c r="AG21" s="64" t="n">
        <x:f>AC21+AD21+AF21</x:f>
        <x:v>0</x:v>
      </x:c>
      <x:c r="AH21" s="64" t="n">
        <x:f>ROUND(AB21*Parametres_Paie!$B$5,0)</x:f>
        <x:v>0</x:v>
      </x:c>
      <x:c r="AI21" s="64" t="n">
        <x:f>IF(AA21&gt;0,ROUND(Parametres_Paie!$B$7*Parametres_Paie!$B$8,0),0)</x:f>
        <x:v>0</x:v>
      </x:c>
      <x:c r="AJ21" s="64" t="n">
        <x:f>IF(AA21&gt;0,ROUND(Parametres_Paie!$B$7*T21,0),0)</x:f>
        <x:v>0</x:v>
      </x:c>
      <x:c r="AK21" s="64" t="n">
        <x:f>IF(AA21&gt;0,ROUND(Parametres_Paie!$B$7*Parametres_Paie!$B$9,0),0)</x:f>
        <x:v>0</x:v>
      </x:c>
      <x:c r="AL21" s="64" t="n">
        <x:f>IF(AA21&gt;0,ROUND(O21*Parametres_Paie!$B$12*Parametres_Paie!$B$14,0),0)</x:f>
        <x:v>0</x:v>
      </x:c>
      <x:c r="AM21" s="64" t="n">
        <x:f>ROUND(AA21*Parametres_Paie!$B$15,0)</x:f>
        <x:v>0</x:v>
      </x:c>
      <x:c r="AN21" s="64" t="n">
        <x:f>ROUND(AA21*Parametres_Paie!$B$16,0)</x:f>
        <x:v>0</x:v>
      </x:c>
      <x:c r="AO21" s="64" t="n">
        <x:f>ROUND(AA21*Parametres_Paie!$B$17,0)</x:f>
        <x:v>0</x:v>
      </x:c>
      <x:c r="AP21" s="64" t="n">
        <x:f>ROUND(AA21*Parametres_Paie!$B$18,0)</x:f>
        <x:v>0</x:v>
      </x:c>
      <x:c r="AQ21" s="64" t="n">
        <x:f>AH21+AI21+AJ21+AK21+AL21+AM21+AN21+AO21+AP21</x:f>
        <x:v>0</x:v>
      </x:c>
      <x:c r="AR21" s="64" t="n">
        <x:f>Y21+S21</x:f>
        <x:v>0</x:v>
      </x:c>
      <x:c r="AS21" s="64" t="n">
        <x:f>AA21+AR21</x:f>
        <x:v>0</x:v>
      </x:c>
      <x:c r="AT21" s="64" t="n">
        <x:f>AS21-AG21</x:f>
        <x:v>0</x:v>
      </x:c>
      <x:c r="AU21" s="64" t="n">
        <x:f>AS21+AQ21</x:f>
        <x:v>0</x:v>
      </x:c>
      <x:c r="AV21" s="25" t="str">
        <x:f>IF(H21&lt;&gt;"Actif","Inactif/à vérifier",IF(K21=0,"Profil paie à compléter",IF(J21="","CNPS manquant","OK")))</x:f>
        <x:v>Profil paie à compléter</x:v>
      </x:c>
      <x:c r="AW21" s="25" t="str">
        <x:f>IFERROR(HYPERLINK("#'Bulletins_Impression'!A"&amp;MATCH(A21,Bulletins_Impression!$B:$B,0),"Voir bulletin"),"Voir bulletin")</x:f>
        <x:v>Voir bulletin</x:v>
      </x:c>
    </x:row>
    <x:row r="22">
      <x:c r="A22" s="25" t="str">
        <x:v>0076J</x:v>
      </x:c>
      <x:c r="B22" s="25" t="str">
        <x:v>GUEU</x:v>
      </x:c>
      <x:c r="C22" s="25" t="str">
        <x:v>Aman Edwige</x:v>
      </x:c>
      <x:c r="D22" s="25" t="str">
        <x:v>Direction Administrative et Financière</x:v>
      </x:c>
      <x:c r="E22" s="25" t="str">
        <x:v>DAF</x:v>
      </x:c>
      <x:c r="F22" s="25" t="str">
        <x:v>Assistante Comptabilité-Trésorerie</x:v>
      </x:c>
      <x:c r="G22" s="25" t="str">
        <x:v>CDI</x:v>
      </x:c>
      <x:c r="H22" s="25" t="str">
        <x:v>Actif</x:v>
      </x:c>
      <x:c r="I22" s="54" t="n">
        <x:v>44562</x:v>
      </x:c>
      <x:c r="J22" s="25" t="n">
        <x:v>202200053099</x:v>
      </x:c>
      <x:c r="K22" s="64" t="n">
        <x:f>IFERROR(INDEX(Profils_Paie!$B:$B,MATCH($A22,Profils_Paie!$A:$A,0)),0)</x:f>
        <x:v>0</x:v>
      </x:c>
      <x:c r="L22" s="64" t="n">
        <x:f>IFERROR(INDEX(Profils_Paie!$C:$C,MATCH($A22,Profils_Paie!$A:$A,0)),0)</x:f>
        <x:v>0</x:v>
      </x:c>
      <x:c r="M22" s="25" t="n">
        <x:f>IFERROR(INDEX(Profils_Paie!$D:$D,MATCH($A22,Profils_Paie!$A:$A,0)),0)</x:f>
        <x:v>1</x:v>
      </x:c>
      <x:c r="N22" s="25" t="n">
        <x:f>IFERROR(INDEX(Profils_Paie!$E:$E,MATCH($A22,Profils_Paie!$A:$A,0)),0)</x:f>
        <x:v>1</x:v>
      </x:c>
      <x:c r="O22" s="25" t="n">
        <x:f>IFERROR(INDEX(Profils_Paie!$F:$F,MATCH($A22,Profils_Paie!$A:$A,0)),0)</x:f>
        <x:v>1</x:v>
      </x:c>
      <x:c r="P22" s="64" t="n">
        <x:f>IFERROR(INDEX(Profils_Paie!$G:$G,MATCH($A22,Profils_Paie!$A:$A,0)),0)</x:f>
        <x:v>0</x:v>
      </x:c>
      <x:c r="Q22" s="64" t="n">
        <x:f>IFERROR(INDEX(Profils_Paie!$H:$H,MATCH($A22,Profils_Paie!$A:$A,0)),0)</x:f>
        <x:v>0</x:v>
      </x:c>
      <x:c r="R22" s="64" t="n">
        <x:f>IFERROR(INDEX(Profils_Paie!$I:$I,MATCH($A22,Profils_Paie!$A:$A,0)),0)</x:f>
        <x:v>0</x:v>
      </x:c>
      <x:c r="S22" s="64" t="n">
        <x:f>IFERROR(INDEX(Profils_Paie!$J:$J,MATCH($A22,Profils_Paie!$A:$A,0)),0)</x:f>
        <x:v>0</x:v>
      </x:c>
      <x:c r="T22" s="66" t="n">
        <x:f>IFERROR(INDEX(Profils_Paie!$K:$K,MATCH($A22,Profils_Paie!$A:$A,0)),0)</x:f>
        <x:v>0.02</x:v>
      </x:c>
      <x:c r="U22" s="25" t="n">
        <x:f>IFERROR(INT((Parametres_Paie!$B$24-I22)/365.25),0)</x:f>
        <x:v>3</x:v>
      </x:c>
      <x:c r="V22" s="25" t="str">
        <x:f>IF(I22="","",U22&amp;" ans (calcul période)")</x:f>
        <x:v>3 ans (calcul période)</x:v>
      </x:c>
      <x:c r="W22" s="66" t="n">
        <x:f>IF(U22&lt;2,0,MIN(U22,25)/100)</x:f>
        <x:v>0.03</x:v>
      </x:c>
      <x:c r="X22" s="64" t="n">
        <x:f>ROUND(K22*W22,0)</x:f>
        <x:v>0</x:v>
      </x:c>
      <x:c r="Y22" s="64" t="n">
        <x:f>MIN(P22,Parametres_Paie!$B$11)</x:f>
        <x:v>0</x:v>
      </x:c>
      <x:c r="Z22" s="64" t="n">
        <x:f>MAX(P22-Parametres_Paie!$B$11,0)</x:f>
        <x:v>0</x:v>
      </x:c>
      <x:c r="AA22" s="64" t="n">
        <x:f>ROUND(K22+L22+X22+Q22+R22+Z22,0)</x:f>
        <x:v>0</x:v>
      </x:c>
      <x:c r="AB22" s="64" t="n">
        <x:f>IFERROR(IF(INDEX(Profils_Paie!$L:$L,MATCH($A22,Profils_Paie!$A:$A,0))="",MIN(AA22,Parametres_Paie!$B$6),MIN(INDEX(Profils_Paie!$L:$L,MATCH($A22,Profils_Paie!$A:$A,0)),Parametres_Paie!$B$6)),MIN(AA22,Parametres_Paie!$B$6))</x:f>
        <x:v>0</x:v>
      </x:c>
      <x:c r="AC22" s="64" t="n">
        <x:f>ROUND(AB22*Parametres_Paie!$B$4,0)</x:f>
        <x:v>0</x:v>
      </x:c>
      <x:c r="AD22" s="64" t="n">
        <x:f>IF(AA22&gt;0,ROUND(N22*Parametres_Paie!$B$12*Parametres_Paie!$B$13,0),0)</x:f>
        <x:v>0</x:v>
      </x:c>
      <x:c r="AE22" s="64" t="n">
        <x:f>IFERROR(INDEX(Parametres_Paie!$G$4:$G$12,MATCH(M22,Parametres_Paie!$F$4:$F$12,0)),0)</x:f>
        <x:v>0</x:v>
      </x:c>
      <x:c r="AF22" s="64" t="n">
        <x:f>ROUND(MAX(0,MAX(MIN(AA22,Parametres_Paie!$K$4)-Parametres_Paie!$J$4,0)*Parametres_Paie!$L$4+MAX(MIN(AA22,Parametres_Paie!$K$5)-Parametres_Paie!$J$5,0)*Parametres_Paie!$L$5+MAX(MIN(AA22,Parametres_Paie!$K$6)-Parametres_Paie!$J$6,0)*Parametres_Paie!$L$6+MAX(MIN(AA22,Parametres_Paie!$K$7)-Parametres_Paie!$J$7,0)*Parametres_Paie!$L$7+MAX(MIN(AA22,Parametres_Paie!$K$8)-Parametres_Paie!$J$8,0)*Parametres_Paie!$L$8+MAX(MIN(AA22,Parametres_Paie!$K$9)-Parametres_Paie!$J$9,0)*Parametres_Paie!$L$9-AE22),0)</x:f>
        <x:v>0</x:v>
      </x:c>
      <x:c r="AG22" s="64" t="n">
        <x:f>AC22+AD22+AF22</x:f>
        <x:v>0</x:v>
      </x:c>
      <x:c r="AH22" s="64" t="n">
        <x:f>ROUND(AB22*Parametres_Paie!$B$5,0)</x:f>
        <x:v>0</x:v>
      </x:c>
      <x:c r="AI22" s="64" t="n">
        <x:f>IF(AA22&gt;0,ROUND(Parametres_Paie!$B$7*Parametres_Paie!$B$8,0),0)</x:f>
        <x:v>0</x:v>
      </x:c>
      <x:c r="AJ22" s="64" t="n">
        <x:f>IF(AA22&gt;0,ROUND(Parametres_Paie!$B$7*T22,0),0)</x:f>
        <x:v>0</x:v>
      </x:c>
      <x:c r="AK22" s="64" t="n">
        <x:f>IF(AA22&gt;0,ROUND(Parametres_Paie!$B$7*Parametres_Paie!$B$9,0),0)</x:f>
        <x:v>0</x:v>
      </x:c>
      <x:c r="AL22" s="64" t="n">
        <x:f>IF(AA22&gt;0,ROUND(O22*Parametres_Paie!$B$12*Parametres_Paie!$B$14,0),0)</x:f>
        <x:v>0</x:v>
      </x:c>
      <x:c r="AM22" s="64" t="n">
        <x:f>ROUND(AA22*Parametres_Paie!$B$15,0)</x:f>
        <x:v>0</x:v>
      </x:c>
      <x:c r="AN22" s="64" t="n">
        <x:f>ROUND(AA22*Parametres_Paie!$B$16,0)</x:f>
        <x:v>0</x:v>
      </x:c>
      <x:c r="AO22" s="64" t="n">
        <x:f>ROUND(AA22*Parametres_Paie!$B$17,0)</x:f>
        <x:v>0</x:v>
      </x:c>
      <x:c r="AP22" s="64" t="n">
        <x:f>ROUND(AA22*Parametres_Paie!$B$18,0)</x:f>
        <x:v>0</x:v>
      </x:c>
      <x:c r="AQ22" s="64" t="n">
        <x:f>AH22+AI22+AJ22+AK22+AL22+AM22+AN22+AO22+AP22</x:f>
        <x:v>0</x:v>
      </x:c>
      <x:c r="AR22" s="64" t="n">
        <x:f>Y22+S22</x:f>
        <x:v>0</x:v>
      </x:c>
      <x:c r="AS22" s="64" t="n">
        <x:f>AA22+AR22</x:f>
        <x:v>0</x:v>
      </x:c>
      <x:c r="AT22" s="64" t="n">
        <x:f>AS22-AG22</x:f>
        <x:v>0</x:v>
      </x:c>
      <x:c r="AU22" s="64" t="n">
        <x:f>AS22+AQ22</x:f>
        <x:v>0</x:v>
      </x:c>
      <x:c r="AV22" s="25" t="str">
        <x:f>IF(H22&lt;&gt;"Actif","Inactif/à vérifier",IF(K22=0,"Profil paie à compléter",IF(J22="","CNPS manquant","OK")))</x:f>
        <x:v>Profil paie à compléter</x:v>
      </x:c>
      <x:c r="AW22" s="25" t="str">
        <x:f>IFERROR(HYPERLINK("#'Bulletins_Impression'!A"&amp;MATCH(A22,Bulletins_Impression!$B:$B,0),"Voir bulletin"),"Voir bulletin")</x:f>
        <x:v>Voir bulletin</x:v>
      </x:c>
    </x:row>
    <x:row r="23">
      <x:c r="A23" s="25" t="str">
        <x:v>0078M</x:v>
      </x:c>
      <x:c r="B23" s="25" t="str">
        <x:v>UMUTANGAMPUNDU</x:v>
      </x:c>
      <x:c r="C23" s="25" t="str">
        <x:v>Djalia</x:v>
      </x:c>
      <x:c r="D23" s="25" t="str">
        <x:v>Direction des Services aux Membres et des Programmes</x:v>
      </x:c>
      <x:c r="E23" s="25" t="str">
        <x:v>DP</x:v>
      </x:c>
      <x:c r="F23" s="25" t="str">
        <x:v>Chargé Technique des Programmes</x:v>
      </x:c>
      <x:c r="G23" s="25" t="str">
        <x:v>CDI</x:v>
      </x:c>
      <x:c r="H23" s="25" t="str">
        <x:v>Actif</x:v>
      </x:c>
      <x:c r="I23" s="54" t="n">
        <x:v>44622</x:v>
      </x:c>
      <x:c r="J23" s="25" t="n">
        <x:v>202200057023</x:v>
      </x:c>
      <x:c r="K23" s="64" t="n">
        <x:f>IFERROR(INDEX(Profils_Paie!$B:$B,MATCH($A23,Profils_Paie!$A:$A,0)),0)</x:f>
        <x:v>0</x:v>
      </x:c>
      <x:c r="L23" s="64" t="n">
        <x:f>IFERROR(INDEX(Profils_Paie!$C:$C,MATCH($A23,Profils_Paie!$A:$A,0)),0)</x:f>
        <x:v>0</x:v>
      </x:c>
      <x:c r="M23" s="25" t="n">
        <x:f>IFERROR(INDEX(Profils_Paie!$D:$D,MATCH($A23,Profils_Paie!$A:$A,0)),0)</x:f>
        <x:v>1</x:v>
      </x:c>
      <x:c r="N23" s="25" t="n">
        <x:f>IFERROR(INDEX(Profils_Paie!$E:$E,MATCH($A23,Profils_Paie!$A:$A,0)),0)</x:f>
        <x:v>1</x:v>
      </x:c>
      <x:c r="O23" s="25" t="n">
        <x:f>IFERROR(INDEX(Profils_Paie!$F:$F,MATCH($A23,Profils_Paie!$A:$A,0)),0)</x:f>
        <x:v>1</x:v>
      </x:c>
      <x:c r="P23" s="64" t="n">
        <x:f>IFERROR(INDEX(Profils_Paie!$G:$G,MATCH($A23,Profils_Paie!$A:$A,0)),0)</x:f>
        <x:v>0</x:v>
      </x:c>
      <x:c r="Q23" s="64" t="n">
        <x:f>IFERROR(INDEX(Profils_Paie!$H:$H,MATCH($A23,Profils_Paie!$A:$A,0)),0)</x:f>
        <x:v>0</x:v>
      </x:c>
      <x:c r="R23" s="64" t="n">
        <x:f>IFERROR(INDEX(Profils_Paie!$I:$I,MATCH($A23,Profils_Paie!$A:$A,0)),0)</x:f>
        <x:v>0</x:v>
      </x:c>
      <x:c r="S23" s="64" t="n">
        <x:f>IFERROR(INDEX(Profils_Paie!$J:$J,MATCH($A23,Profils_Paie!$A:$A,0)),0)</x:f>
        <x:v>0</x:v>
      </x:c>
      <x:c r="T23" s="66" t="n">
        <x:f>IFERROR(INDEX(Profils_Paie!$K:$K,MATCH($A23,Profils_Paie!$A:$A,0)),0)</x:f>
        <x:v>0.02</x:v>
      </x:c>
      <x:c r="U23" s="25" t="n">
        <x:f>IFERROR(INT((Parametres_Paie!$B$24-I23)/365.25),0)</x:f>
        <x:v>2</x:v>
      </x:c>
      <x:c r="V23" s="25" t="str">
        <x:f>IF(I23="","",U23&amp;" ans (calcul période)")</x:f>
        <x:v>2 ans (calcul période)</x:v>
      </x:c>
      <x:c r="W23" s="66" t="n">
        <x:f>IF(U23&lt;2,0,MIN(U23,25)/100)</x:f>
        <x:v>0.02</x:v>
      </x:c>
      <x:c r="X23" s="64" t="n">
        <x:f>ROUND(K23*W23,0)</x:f>
        <x:v>0</x:v>
      </x:c>
      <x:c r="Y23" s="64" t="n">
        <x:f>MIN(P23,Parametres_Paie!$B$11)</x:f>
        <x:v>0</x:v>
      </x:c>
      <x:c r="Z23" s="64" t="n">
        <x:f>MAX(P23-Parametres_Paie!$B$11,0)</x:f>
        <x:v>0</x:v>
      </x:c>
      <x:c r="AA23" s="64" t="n">
        <x:f>ROUND(K23+L23+X23+Q23+R23+Z23,0)</x:f>
        <x:v>0</x:v>
      </x:c>
      <x:c r="AB23" s="64" t="n">
        <x:f>IFERROR(IF(INDEX(Profils_Paie!$L:$L,MATCH($A23,Profils_Paie!$A:$A,0))="",MIN(AA23,Parametres_Paie!$B$6),MIN(INDEX(Profils_Paie!$L:$L,MATCH($A23,Profils_Paie!$A:$A,0)),Parametres_Paie!$B$6)),MIN(AA23,Parametres_Paie!$B$6))</x:f>
        <x:v>0</x:v>
      </x:c>
      <x:c r="AC23" s="64" t="n">
        <x:f>ROUND(AB23*Parametres_Paie!$B$4,0)</x:f>
        <x:v>0</x:v>
      </x:c>
      <x:c r="AD23" s="64" t="n">
        <x:f>IF(AA23&gt;0,ROUND(N23*Parametres_Paie!$B$12*Parametres_Paie!$B$13,0),0)</x:f>
        <x:v>0</x:v>
      </x:c>
      <x:c r="AE23" s="64" t="n">
        <x:f>IFERROR(INDEX(Parametres_Paie!$G$4:$G$12,MATCH(M23,Parametres_Paie!$F$4:$F$12,0)),0)</x:f>
        <x:v>0</x:v>
      </x:c>
      <x:c r="AF23" s="64" t="n">
        <x:f>ROUND(MAX(0,MAX(MIN(AA23,Parametres_Paie!$K$4)-Parametres_Paie!$J$4,0)*Parametres_Paie!$L$4+MAX(MIN(AA23,Parametres_Paie!$K$5)-Parametres_Paie!$J$5,0)*Parametres_Paie!$L$5+MAX(MIN(AA23,Parametres_Paie!$K$6)-Parametres_Paie!$J$6,0)*Parametres_Paie!$L$6+MAX(MIN(AA23,Parametres_Paie!$K$7)-Parametres_Paie!$J$7,0)*Parametres_Paie!$L$7+MAX(MIN(AA23,Parametres_Paie!$K$8)-Parametres_Paie!$J$8,0)*Parametres_Paie!$L$8+MAX(MIN(AA23,Parametres_Paie!$K$9)-Parametres_Paie!$J$9,0)*Parametres_Paie!$L$9-AE23),0)</x:f>
        <x:v>0</x:v>
      </x:c>
      <x:c r="AG23" s="64" t="n">
        <x:f>AC23+AD23+AF23</x:f>
        <x:v>0</x:v>
      </x:c>
      <x:c r="AH23" s="64" t="n">
        <x:f>ROUND(AB23*Parametres_Paie!$B$5,0)</x:f>
        <x:v>0</x:v>
      </x:c>
      <x:c r="AI23" s="64" t="n">
        <x:f>IF(AA23&gt;0,ROUND(Parametres_Paie!$B$7*Parametres_Paie!$B$8,0),0)</x:f>
        <x:v>0</x:v>
      </x:c>
      <x:c r="AJ23" s="64" t="n">
        <x:f>IF(AA23&gt;0,ROUND(Parametres_Paie!$B$7*T23,0),0)</x:f>
        <x:v>0</x:v>
      </x:c>
      <x:c r="AK23" s="64" t="n">
        <x:f>IF(AA23&gt;0,ROUND(Parametres_Paie!$B$7*Parametres_Paie!$B$9,0),0)</x:f>
        <x:v>0</x:v>
      </x:c>
      <x:c r="AL23" s="64" t="n">
        <x:f>IF(AA23&gt;0,ROUND(O23*Parametres_Paie!$B$12*Parametres_Paie!$B$14,0),0)</x:f>
        <x:v>0</x:v>
      </x:c>
      <x:c r="AM23" s="64" t="n">
        <x:f>ROUND(AA23*Parametres_Paie!$B$15,0)</x:f>
        <x:v>0</x:v>
      </x:c>
      <x:c r="AN23" s="64" t="n">
        <x:f>ROUND(AA23*Parametres_Paie!$B$16,0)</x:f>
        <x:v>0</x:v>
      </x:c>
      <x:c r="AO23" s="64" t="n">
        <x:f>ROUND(AA23*Parametres_Paie!$B$17,0)</x:f>
        <x:v>0</x:v>
      </x:c>
      <x:c r="AP23" s="64" t="n">
        <x:f>ROUND(AA23*Parametres_Paie!$B$18,0)</x:f>
        <x:v>0</x:v>
      </x:c>
      <x:c r="AQ23" s="64" t="n">
        <x:f>AH23+AI23+AJ23+AK23+AL23+AM23+AN23+AO23+AP23</x:f>
        <x:v>0</x:v>
      </x:c>
      <x:c r="AR23" s="64" t="n">
        <x:f>Y23+S23</x:f>
        <x:v>0</x:v>
      </x:c>
      <x:c r="AS23" s="64" t="n">
        <x:f>AA23+AR23</x:f>
        <x:v>0</x:v>
      </x:c>
      <x:c r="AT23" s="64" t="n">
        <x:f>AS23-AG23</x:f>
        <x:v>0</x:v>
      </x:c>
      <x:c r="AU23" s="64" t="n">
        <x:f>AS23+AQ23</x:f>
        <x:v>0</x:v>
      </x:c>
      <x:c r="AV23" s="25" t="str">
        <x:f>IF(H23&lt;&gt;"Actif","Inactif/à vérifier",IF(K23=0,"Profil paie à compléter",IF(J23="","CNPS manquant","OK")))</x:f>
        <x:v>Profil paie à compléter</x:v>
      </x:c>
      <x:c r="AW23" s="25" t="str">
        <x:f>IFERROR(HYPERLINK("#'Bulletins_Impression'!A"&amp;MATCH(A23,Bulletins_Impression!$B:$B,0),"Voir bulletin"),"Voir bulletin")</x:f>
        <x:v>Voir bulletin</x:v>
      </x:c>
    </x:row>
    <x:row r="24">
      <x:c r="A24" s="25" t="str">
        <x:v>0079M</x:v>
      </x:c>
      <x:c r="B24" s="25" t="str">
        <x:v>GOULI</x:v>
      </x:c>
      <x:c r="C24" s="25" t="str">
        <x:v>Tanh Judicaël</x:v>
      </x:c>
      <x:c r="D24" s="25" t="str">
        <x:v>Direction Administrative et Financière</x:v>
      </x:c>
      <x:c r="E24" s="25" t="str">
        <x:v>DAF</x:v>
      </x:c>
      <x:c r="F24" s="25" t="str">
        <x:v>Assistant TIC</x:v>
      </x:c>
      <x:c r="G24" s="25" t="str">
        <x:v>CDI</x:v>
      </x:c>
      <x:c r="H24" s="25" t="str">
        <x:v>Actif</x:v>
      </x:c>
      <x:c r="I24" s="54" t="n">
        <x:v>44628</x:v>
      </x:c>
      <x:c r="J24" s="25" t="n">
        <x:v>191011778898</x:v>
      </x:c>
      <x:c r="K24" s="64" t="n">
        <x:f>IFERROR(INDEX(Profils_Paie!$B:$B,MATCH($A24,Profils_Paie!$A:$A,0)),0)</x:f>
        <x:v>0</x:v>
      </x:c>
      <x:c r="L24" s="64" t="n">
        <x:f>IFERROR(INDEX(Profils_Paie!$C:$C,MATCH($A24,Profils_Paie!$A:$A,0)),0)</x:f>
        <x:v>0</x:v>
      </x:c>
      <x:c r="M24" s="25" t="n">
        <x:f>IFERROR(INDEX(Profils_Paie!$D:$D,MATCH($A24,Profils_Paie!$A:$A,0)),0)</x:f>
        <x:v>1</x:v>
      </x:c>
      <x:c r="N24" s="25" t="n">
        <x:f>IFERROR(INDEX(Profils_Paie!$E:$E,MATCH($A24,Profils_Paie!$A:$A,0)),0)</x:f>
        <x:v>1</x:v>
      </x:c>
      <x:c r="O24" s="25" t="n">
        <x:f>IFERROR(INDEX(Profils_Paie!$F:$F,MATCH($A24,Profils_Paie!$A:$A,0)),0)</x:f>
        <x:v>1</x:v>
      </x:c>
      <x:c r="P24" s="64" t="n">
        <x:f>IFERROR(INDEX(Profils_Paie!$G:$G,MATCH($A24,Profils_Paie!$A:$A,0)),0)</x:f>
        <x:v>0</x:v>
      </x:c>
      <x:c r="Q24" s="64" t="n">
        <x:f>IFERROR(INDEX(Profils_Paie!$H:$H,MATCH($A24,Profils_Paie!$A:$A,0)),0)</x:f>
        <x:v>0</x:v>
      </x:c>
      <x:c r="R24" s="64" t="n">
        <x:f>IFERROR(INDEX(Profils_Paie!$I:$I,MATCH($A24,Profils_Paie!$A:$A,0)),0)</x:f>
        <x:v>0</x:v>
      </x:c>
      <x:c r="S24" s="64" t="n">
        <x:f>IFERROR(INDEX(Profils_Paie!$J:$J,MATCH($A24,Profils_Paie!$A:$A,0)),0)</x:f>
        <x:v>0</x:v>
      </x:c>
      <x:c r="T24" s="66" t="n">
        <x:f>IFERROR(INDEX(Profils_Paie!$K:$K,MATCH($A24,Profils_Paie!$A:$A,0)),0)</x:f>
        <x:v>0.02</x:v>
      </x:c>
      <x:c r="U24" s="25" t="n">
        <x:f>IFERROR(INT((Parametres_Paie!$B$24-I24)/365.25),0)</x:f>
        <x:v>2</x:v>
      </x:c>
      <x:c r="V24" s="25" t="str">
        <x:f>IF(I24="","",U24&amp;" ans (calcul période)")</x:f>
        <x:v>2 ans (calcul période)</x:v>
      </x:c>
      <x:c r="W24" s="66" t="n">
        <x:f>IF(U24&lt;2,0,MIN(U24,25)/100)</x:f>
        <x:v>0.02</x:v>
      </x:c>
      <x:c r="X24" s="64" t="n">
        <x:f>ROUND(K24*W24,0)</x:f>
        <x:v>0</x:v>
      </x:c>
      <x:c r="Y24" s="64" t="n">
        <x:f>MIN(P24,Parametres_Paie!$B$11)</x:f>
        <x:v>0</x:v>
      </x:c>
      <x:c r="Z24" s="64" t="n">
        <x:f>MAX(P24-Parametres_Paie!$B$11,0)</x:f>
        <x:v>0</x:v>
      </x:c>
      <x:c r="AA24" s="64" t="n">
        <x:f>ROUND(K24+L24+X24+Q24+R24+Z24,0)</x:f>
        <x:v>0</x:v>
      </x:c>
      <x:c r="AB24" s="64" t="n">
        <x:f>IFERROR(IF(INDEX(Profils_Paie!$L:$L,MATCH($A24,Profils_Paie!$A:$A,0))="",MIN(AA24,Parametres_Paie!$B$6),MIN(INDEX(Profils_Paie!$L:$L,MATCH($A24,Profils_Paie!$A:$A,0)),Parametres_Paie!$B$6)),MIN(AA24,Parametres_Paie!$B$6))</x:f>
        <x:v>0</x:v>
      </x:c>
      <x:c r="AC24" s="64" t="n">
        <x:f>ROUND(AB24*Parametres_Paie!$B$4,0)</x:f>
        <x:v>0</x:v>
      </x:c>
      <x:c r="AD24" s="64" t="n">
        <x:f>IF(AA24&gt;0,ROUND(N24*Parametres_Paie!$B$12*Parametres_Paie!$B$13,0),0)</x:f>
        <x:v>0</x:v>
      </x:c>
      <x:c r="AE24" s="64" t="n">
        <x:f>IFERROR(INDEX(Parametres_Paie!$G$4:$G$12,MATCH(M24,Parametres_Paie!$F$4:$F$12,0)),0)</x:f>
        <x:v>0</x:v>
      </x:c>
      <x:c r="AF24" s="64" t="n">
        <x:f>ROUND(MAX(0,MAX(MIN(AA24,Parametres_Paie!$K$4)-Parametres_Paie!$J$4,0)*Parametres_Paie!$L$4+MAX(MIN(AA24,Parametres_Paie!$K$5)-Parametres_Paie!$J$5,0)*Parametres_Paie!$L$5+MAX(MIN(AA24,Parametres_Paie!$K$6)-Parametres_Paie!$J$6,0)*Parametres_Paie!$L$6+MAX(MIN(AA24,Parametres_Paie!$K$7)-Parametres_Paie!$J$7,0)*Parametres_Paie!$L$7+MAX(MIN(AA24,Parametres_Paie!$K$8)-Parametres_Paie!$J$8,0)*Parametres_Paie!$L$8+MAX(MIN(AA24,Parametres_Paie!$K$9)-Parametres_Paie!$J$9,0)*Parametres_Paie!$L$9-AE24),0)</x:f>
        <x:v>0</x:v>
      </x:c>
      <x:c r="AG24" s="64" t="n">
        <x:f>AC24+AD24+AF24</x:f>
        <x:v>0</x:v>
      </x:c>
      <x:c r="AH24" s="64" t="n">
        <x:f>ROUND(AB24*Parametres_Paie!$B$5,0)</x:f>
        <x:v>0</x:v>
      </x:c>
      <x:c r="AI24" s="64" t="n">
        <x:f>IF(AA24&gt;0,ROUND(Parametres_Paie!$B$7*Parametres_Paie!$B$8,0),0)</x:f>
        <x:v>0</x:v>
      </x:c>
      <x:c r="AJ24" s="64" t="n">
        <x:f>IF(AA24&gt;0,ROUND(Parametres_Paie!$B$7*T24,0),0)</x:f>
        <x:v>0</x:v>
      </x:c>
      <x:c r="AK24" s="64" t="n">
        <x:f>IF(AA24&gt;0,ROUND(Parametres_Paie!$B$7*Parametres_Paie!$B$9,0),0)</x:f>
        <x:v>0</x:v>
      </x:c>
      <x:c r="AL24" s="64" t="n">
        <x:f>IF(AA24&gt;0,ROUND(O24*Parametres_Paie!$B$12*Parametres_Paie!$B$14,0),0)</x:f>
        <x:v>0</x:v>
      </x:c>
      <x:c r="AM24" s="64" t="n">
        <x:f>ROUND(AA24*Parametres_Paie!$B$15,0)</x:f>
        <x:v>0</x:v>
      </x:c>
      <x:c r="AN24" s="64" t="n">
        <x:f>ROUND(AA24*Parametres_Paie!$B$16,0)</x:f>
        <x:v>0</x:v>
      </x:c>
      <x:c r="AO24" s="64" t="n">
        <x:f>ROUND(AA24*Parametres_Paie!$B$17,0)</x:f>
        <x:v>0</x:v>
      </x:c>
      <x:c r="AP24" s="64" t="n">
        <x:f>ROUND(AA24*Parametres_Paie!$B$18,0)</x:f>
        <x:v>0</x:v>
      </x:c>
      <x:c r="AQ24" s="64" t="n">
        <x:f>AH24+AI24+AJ24+AK24+AL24+AM24+AN24+AO24+AP24</x:f>
        <x:v>0</x:v>
      </x:c>
      <x:c r="AR24" s="64" t="n">
        <x:f>Y24+S24</x:f>
        <x:v>0</x:v>
      </x:c>
      <x:c r="AS24" s="64" t="n">
        <x:f>AA24+AR24</x:f>
        <x:v>0</x:v>
      </x:c>
      <x:c r="AT24" s="64" t="n">
        <x:f>AS24-AG24</x:f>
        <x:v>0</x:v>
      </x:c>
      <x:c r="AU24" s="64" t="n">
        <x:f>AS24+AQ24</x:f>
        <x:v>0</x:v>
      </x:c>
      <x:c r="AV24" s="25" t="str">
        <x:f>IF(H24&lt;&gt;"Actif","Inactif/à vérifier",IF(K24=0,"Profil paie à compléter",IF(J24="","CNPS manquant","OK")))</x:f>
        <x:v>Profil paie à compléter</x:v>
      </x:c>
      <x:c r="AW24" s="25" t="str">
        <x:f>IFERROR(HYPERLINK("#'Bulletins_Impression'!A"&amp;MATCH(A24,Bulletins_Impression!$B:$B,0),"Voir bulletin"),"Voir bulletin")</x:f>
        <x:v>Voir bulletin</x:v>
      </x:c>
    </x:row>
    <x:row r="25">
      <x:c r="A25" s="25" t="str">
        <x:v>0081A</x:v>
      </x:c>
      <x:c r="B25" s="25" t="str">
        <x:v>SECK</x:v>
      </x:c>
      <x:c r="C25" s="25" t="str">
        <x:v>Moussa</x:v>
      </x:c>
      <x:c r="D25" s="25" t="str">
        <x:v>Direction des Services aux Membres et des Programmes</x:v>
      </x:c>
      <x:c r="E25" s="25" t="str">
        <x:v>DMS</x:v>
      </x:c>
      <x:c r="F25" s="25" t="str">
        <x:v>Directeur des Services aux Membres</x:v>
      </x:c>
      <x:c r="G25" s="25" t="str">
        <x:v>CDI</x:v>
      </x:c>
      <x:c r="H25" s="25" t="str">
        <x:v>Actif</x:v>
      </x:c>
      <x:c r="I25" s="54" t="n">
        <x:v>44774</x:v>
      </x:c>
      <x:c r="J25" s="25" t="n">
        <x:v>202200074906</x:v>
      </x:c>
      <x:c r="K25" s="64" t="n">
        <x:f>IFERROR(INDEX(Profils_Paie!$B:$B,MATCH($A25,Profils_Paie!$A:$A,0)),0)</x:f>
        <x:v>0</x:v>
      </x:c>
      <x:c r="L25" s="64" t="n">
        <x:f>IFERROR(INDEX(Profils_Paie!$C:$C,MATCH($A25,Profils_Paie!$A:$A,0)),0)</x:f>
        <x:v>0</x:v>
      </x:c>
      <x:c r="M25" s="25" t="n">
        <x:f>IFERROR(INDEX(Profils_Paie!$D:$D,MATCH($A25,Profils_Paie!$A:$A,0)),0)</x:f>
        <x:v>1</x:v>
      </x:c>
      <x:c r="N25" s="25" t="n">
        <x:f>IFERROR(INDEX(Profils_Paie!$E:$E,MATCH($A25,Profils_Paie!$A:$A,0)),0)</x:f>
        <x:v>1</x:v>
      </x:c>
      <x:c r="O25" s="25" t="n">
        <x:f>IFERROR(INDEX(Profils_Paie!$F:$F,MATCH($A25,Profils_Paie!$A:$A,0)),0)</x:f>
        <x:v>1</x:v>
      </x:c>
      <x:c r="P25" s="64" t="n">
        <x:f>IFERROR(INDEX(Profils_Paie!$G:$G,MATCH($A25,Profils_Paie!$A:$A,0)),0)</x:f>
        <x:v>0</x:v>
      </x:c>
      <x:c r="Q25" s="64" t="n">
        <x:f>IFERROR(INDEX(Profils_Paie!$H:$H,MATCH($A25,Profils_Paie!$A:$A,0)),0)</x:f>
        <x:v>0</x:v>
      </x:c>
      <x:c r="R25" s="64" t="n">
        <x:f>IFERROR(INDEX(Profils_Paie!$I:$I,MATCH($A25,Profils_Paie!$A:$A,0)),0)</x:f>
        <x:v>0</x:v>
      </x:c>
      <x:c r="S25" s="64" t="n">
        <x:f>IFERROR(INDEX(Profils_Paie!$J:$J,MATCH($A25,Profils_Paie!$A:$A,0)),0)</x:f>
        <x:v>0</x:v>
      </x:c>
      <x:c r="T25" s="66" t="n">
        <x:f>IFERROR(INDEX(Profils_Paie!$K:$K,MATCH($A25,Profils_Paie!$A:$A,0)),0)</x:f>
        <x:v>0.02</x:v>
      </x:c>
      <x:c r="U25" s="25" t="n">
        <x:f>IFERROR(INT((Parametres_Paie!$B$24-I25)/365.25),0)</x:f>
        <x:v>2</x:v>
      </x:c>
      <x:c r="V25" s="25" t="str">
        <x:f>IF(I25="","",U25&amp;" ans (calcul période)")</x:f>
        <x:v>2 ans (calcul période)</x:v>
      </x:c>
      <x:c r="W25" s="66" t="n">
        <x:f>IF(U25&lt;2,0,MIN(U25,25)/100)</x:f>
        <x:v>0.02</x:v>
      </x:c>
      <x:c r="X25" s="64" t="n">
        <x:f>ROUND(K25*W25,0)</x:f>
        <x:v>0</x:v>
      </x:c>
      <x:c r="Y25" s="64" t="n">
        <x:f>MIN(P25,Parametres_Paie!$B$11)</x:f>
        <x:v>0</x:v>
      </x:c>
      <x:c r="Z25" s="64" t="n">
        <x:f>MAX(P25-Parametres_Paie!$B$11,0)</x:f>
        <x:v>0</x:v>
      </x:c>
      <x:c r="AA25" s="64" t="n">
        <x:f>ROUND(K25+L25+X25+Q25+R25+Z25,0)</x:f>
        <x:v>0</x:v>
      </x:c>
      <x:c r="AB25" s="64" t="n">
        <x:f>IFERROR(IF(INDEX(Profils_Paie!$L:$L,MATCH($A25,Profils_Paie!$A:$A,0))="",MIN(AA25,Parametres_Paie!$B$6),MIN(INDEX(Profils_Paie!$L:$L,MATCH($A25,Profils_Paie!$A:$A,0)),Parametres_Paie!$B$6)),MIN(AA25,Parametres_Paie!$B$6))</x:f>
        <x:v>0</x:v>
      </x:c>
      <x:c r="AC25" s="64" t="n">
        <x:f>ROUND(AB25*Parametres_Paie!$B$4,0)</x:f>
        <x:v>0</x:v>
      </x:c>
      <x:c r="AD25" s="64" t="n">
        <x:f>IF(AA25&gt;0,ROUND(N25*Parametres_Paie!$B$12*Parametres_Paie!$B$13,0),0)</x:f>
        <x:v>0</x:v>
      </x:c>
      <x:c r="AE25" s="64" t="n">
        <x:f>IFERROR(INDEX(Parametres_Paie!$G$4:$G$12,MATCH(M25,Parametres_Paie!$F$4:$F$12,0)),0)</x:f>
        <x:v>0</x:v>
      </x:c>
      <x:c r="AF25" s="64" t="n">
        <x:f>ROUND(MAX(0,MAX(MIN(AA25,Parametres_Paie!$K$4)-Parametres_Paie!$J$4,0)*Parametres_Paie!$L$4+MAX(MIN(AA25,Parametres_Paie!$K$5)-Parametres_Paie!$J$5,0)*Parametres_Paie!$L$5+MAX(MIN(AA25,Parametres_Paie!$K$6)-Parametres_Paie!$J$6,0)*Parametres_Paie!$L$6+MAX(MIN(AA25,Parametres_Paie!$K$7)-Parametres_Paie!$J$7,0)*Parametres_Paie!$L$7+MAX(MIN(AA25,Parametres_Paie!$K$8)-Parametres_Paie!$J$8,0)*Parametres_Paie!$L$8+MAX(MIN(AA25,Parametres_Paie!$K$9)-Parametres_Paie!$J$9,0)*Parametres_Paie!$L$9-AE25),0)</x:f>
        <x:v>0</x:v>
      </x:c>
      <x:c r="AG25" s="64" t="n">
        <x:f>AC25+AD25+AF25</x:f>
        <x:v>0</x:v>
      </x:c>
      <x:c r="AH25" s="64" t="n">
        <x:f>ROUND(AB25*Parametres_Paie!$B$5,0)</x:f>
        <x:v>0</x:v>
      </x:c>
      <x:c r="AI25" s="64" t="n">
        <x:f>IF(AA25&gt;0,ROUND(Parametres_Paie!$B$7*Parametres_Paie!$B$8,0),0)</x:f>
        <x:v>0</x:v>
      </x:c>
      <x:c r="AJ25" s="64" t="n">
        <x:f>IF(AA25&gt;0,ROUND(Parametres_Paie!$B$7*T25,0),0)</x:f>
        <x:v>0</x:v>
      </x:c>
      <x:c r="AK25" s="64" t="n">
        <x:f>IF(AA25&gt;0,ROUND(Parametres_Paie!$B$7*Parametres_Paie!$B$9,0),0)</x:f>
        <x:v>0</x:v>
      </x:c>
      <x:c r="AL25" s="64" t="n">
        <x:f>IF(AA25&gt;0,ROUND(O25*Parametres_Paie!$B$12*Parametres_Paie!$B$14,0),0)</x:f>
        <x:v>0</x:v>
      </x:c>
      <x:c r="AM25" s="64" t="n">
        <x:f>ROUND(AA25*Parametres_Paie!$B$15,0)</x:f>
        <x:v>0</x:v>
      </x:c>
      <x:c r="AN25" s="64" t="n">
        <x:f>ROUND(AA25*Parametres_Paie!$B$16,0)</x:f>
        <x:v>0</x:v>
      </x:c>
      <x:c r="AO25" s="64" t="n">
        <x:f>ROUND(AA25*Parametres_Paie!$B$17,0)</x:f>
        <x:v>0</x:v>
      </x:c>
      <x:c r="AP25" s="64" t="n">
        <x:f>ROUND(AA25*Parametres_Paie!$B$18,0)</x:f>
        <x:v>0</x:v>
      </x:c>
      <x:c r="AQ25" s="64" t="n">
        <x:f>AH25+AI25+AJ25+AK25+AL25+AM25+AN25+AO25+AP25</x:f>
        <x:v>0</x:v>
      </x:c>
      <x:c r="AR25" s="64" t="n">
        <x:f>Y25+S25</x:f>
        <x:v>0</x:v>
      </x:c>
      <x:c r="AS25" s="64" t="n">
        <x:f>AA25+AR25</x:f>
        <x:v>0</x:v>
      </x:c>
      <x:c r="AT25" s="64" t="n">
        <x:f>AS25-AG25</x:f>
        <x:v>0</x:v>
      </x:c>
      <x:c r="AU25" s="64" t="n">
        <x:f>AS25+AQ25</x:f>
        <x:v>0</x:v>
      </x:c>
      <x:c r="AV25" s="25" t="str">
        <x:f>IF(H25&lt;&gt;"Actif","Inactif/à vérifier",IF(K25=0,"Profil paie à compléter",IF(J25="","CNPS manquant","OK")))</x:f>
        <x:v>Profil paie à compléter</x:v>
      </x:c>
      <x:c r="AW25" s="25" t="str">
        <x:f>IFERROR(HYPERLINK("#'Bulletins_Impression'!A"&amp;MATCH(A25,Bulletins_Impression!$B:$B,0),"Voir bulletin"),"Voir bulletin")</x:f>
        <x:v>Voir bulletin</x:v>
      </x:c>
    </x:row>
    <x:row r="26">
      <x:c r="A26" s="25" t="str">
        <x:v>0000Z</x:v>
      </x:c>
      <x:c r="B26" s="25" t="str">
        <x:v>KANGA</x:v>
      </x:c>
      <x:c r="C26" s="25" t="str">
        <x:v>Kouamé Alexandre</x:v>
      </x:c>
      <x:c r="D26" s="25" t="str">
        <x:v>Cabinet de la Direction Exécutive</x:v>
      </x:c>
      <x:c r="E26" s="25" t="str">
        <x:v>Cabinet DEX</x:v>
      </x:c>
      <x:c r="F26" s="25" t="str">
        <x:v>Responsable Données et Stratégies</x:v>
      </x:c>
      <x:c r="G26" s="25" t="str">
        <x:v>CDI</x:v>
      </x:c>
      <x:c r="H26" s="25" t="str">
        <x:v>Actif</x:v>
      </x:c>
      <x:c r="I26" s="54" t="n">
        <x:v>44896</x:v>
      </x:c>
      <x:c r="J26" s="25" t="n">
        <x:v>183011531120</x:v>
      </x:c>
      <x:c r="K26" s="64" t="n">
        <x:f>IFERROR(INDEX(Profils_Paie!$B:$B,MATCH($A26,Profils_Paie!$A:$A,0)),0)</x:f>
        <x:v>176701</x:v>
      </x:c>
      <x:c r="L26" s="64" t="n">
        <x:f>IFERROR(INDEX(Profils_Paie!$C:$C,MATCH($A26,Profils_Paie!$A:$A,0)),0)</x:f>
        <x:v>769549</x:v>
      </x:c>
      <x:c r="M26" s="25" t="n">
        <x:f>IFERROR(INDEX(Profils_Paie!$D:$D,MATCH($A26,Profils_Paie!$A:$A,0)),0)</x:f>
        <x:v>2</x:v>
      </x:c>
      <x:c r="N26" s="25" t="n">
        <x:f>IFERROR(INDEX(Profils_Paie!$E:$E,MATCH($A26,Profils_Paie!$A:$A,0)),0)</x:f>
        <x:v>2</x:v>
      </x:c>
      <x:c r="O26" s="25" t="n">
        <x:f>IFERROR(INDEX(Profils_Paie!$F:$F,MATCH($A26,Profils_Paie!$A:$A,0)),0)</x:f>
        <x:v>2</x:v>
      </x:c>
      <x:c r="P26" s="64" t="n">
        <x:f>IFERROR(INDEX(Profils_Paie!$G:$G,MATCH($A26,Profils_Paie!$A:$A,0)),0)</x:f>
        <x:v>30000</x:v>
      </x:c>
      <x:c r="Q26" s="64" t="n">
        <x:f>IFERROR(INDEX(Profils_Paie!$H:$H,MATCH($A26,Profils_Paie!$A:$A,0)),0)</x:f>
        <x:v>0</x:v>
      </x:c>
      <x:c r="R26" s="64" t="n">
        <x:f>IFERROR(INDEX(Profils_Paie!$I:$I,MATCH($A26,Profils_Paie!$A:$A,0)),0)</x:f>
        <x:v>0</x:v>
      </x:c>
      <x:c r="S26" s="64" t="n">
        <x:f>IFERROR(INDEX(Profils_Paie!$J:$J,MATCH($A26,Profils_Paie!$A:$A,0)),0)</x:f>
        <x:v>0</x:v>
      </x:c>
      <x:c r="T26" s="66" t="n">
        <x:f>IFERROR(INDEX(Profils_Paie!$K:$K,MATCH($A26,Profils_Paie!$A:$A,0)),0)</x:f>
        <x:v>0.02</x:v>
      </x:c>
      <x:c r="U26" s="25" t="n">
        <x:f>IFERROR(INT((Parametres_Paie!$B$24-I26)/365.25),0)</x:f>
        <x:v>2</x:v>
      </x:c>
      <x:c r="V26" s="25" t="str">
        <x:f>IF(I26="","",U26&amp;" ans (calcul période)")</x:f>
        <x:v>2 ans (calcul période)</x:v>
      </x:c>
      <x:c r="W26" s="66" t="n">
        <x:f>IF(U26&lt;2,0,MIN(U26,25)/100)</x:f>
        <x:v>0.02</x:v>
      </x:c>
      <x:c r="X26" s="64" t="n">
        <x:f>ROUND(K26*W26,0)</x:f>
        <x:v>3534</x:v>
      </x:c>
      <x:c r="Y26" s="64" t="n">
        <x:f>MIN(P26,Parametres_Paie!$B$11)</x:f>
        <x:v>30000</x:v>
      </x:c>
      <x:c r="Z26" s="64" t="n">
        <x:f>MAX(P26-Parametres_Paie!$B$11,0)</x:f>
        <x:v>0</x:v>
      </x:c>
      <x:c r="AA26" s="64" t="n">
        <x:f>ROUND(K26+L26+X26+Q26+R26+Z26,0)</x:f>
        <x:v>949784</x:v>
      </x:c>
      <x:c r="AB26" s="64" t="n">
        <x:f>IFERROR(IF(INDEX(Profils_Paie!$L:$L,MATCH($A26,Profils_Paie!$A:$A,0))="",MIN(AA26,Parametres_Paie!$B$6),MIN(INDEX(Profils_Paie!$L:$L,MATCH($A26,Profils_Paie!$A:$A,0)),Parametres_Paie!$B$6)),MIN(AA26,Parametres_Paie!$B$6))</x:f>
        <x:v>949784</x:v>
      </x:c>
      <x:c r="AC26" s="64" t="n">
        <x:f>ROUND(AB26*Parametres_Paie!$B$4,0)</x:f>
        <x:v>59836</x:v>
      </x:c>
      <x:c r="AD26" s="64" t="n">
        <x:f>IF(AA26&gt;0,ROUND(N26*Parametres_Paie!$B$12*Parametres_Paie!$B$13,0),0)</x:f>
        <x:v>1000</x:v>
      </x:c>
      <x:c r="AE26" s="64" t="n">
        <x:f>IFERROR(INDEX(Parametres_Paie!$G$4:$G$12,MATCH(M26,Parametres_Paie!$F$4:$F$12,0)),0)</x:f>
        <x:v>11000</x:v>
      </x:c>
      <x:c r="AF26" s="64" t="n">
        <x:f>ROUND(MAX(0,MAX(MIN(AA26,Parametres_Paie!$K$4)-Parametres_Paie!$J$4,0)*Parametres_Paie!$L$4+MAX(MIN(AA26,Parametres_Paie!$K$5)-Parametres_Paie!$J$5,0)*Parametres_Paie!$L$5+MAX(MIN(AA26,Parametres_Paie!$K$6)-Parametres_Paie!$J$6,0)*Parametres_Paie!$L$6+MAX(MIN(AA26,Parametres_Paie!$K$7)-Parametres_Paie!$J$7,0)*Parametres_Paie!$L$7+MAX(MIN(AA26,Parametres_Paie!$K$8)-Parametres_Paie!$J$8,0)*Parametres_Paie!$L$8+MAX(MIN(AA26,Parametres_Paie!$K$9)-Parametres_Paie!$J$9,0)*Parametres_Paie!$L$9-AE26),0)</x:f>
        <x:v>168948</x:v>
      </x:c>
      <x:c r="AG26" s="64" t="n">
        <x:f>AC26+AD26+AF26</x:f>
        <x:v>229784</x:v>
      </x:c>
      <x:c r="AH26" s="64" t="n">
        <x:f>ROUND(AB26*Parametres_Paie!$B$5,0)</x:f>
        <x:v>73133</x:v>
      </x:c>
      <x:c r="AI26" s="64" t="n">
        <x:f>IF(AA26&gt;0,ROUND(Parametres_Paie!$B$7*Parametres_Paie!$B$8,0),0)</x:f>
        <x:v>3750</x:v>
      </x:c>
      <x:c r="AJ26" s="64" t="n">
        <x:f>IF(AA26&gt;0,ROUND(Parametres_Paie!$B$7*T26,0),0)</x:f>
        <x:v>1500</x:v>
      </x:c>
      <x:c r="AK26" s="64" t="n">
        <x:f>IF(AA26&gt;0,ROUND(Parametres_Paie!$B$7*Parametres_Paie!$B$9,0),0)</x:f>
        <x:v>563</x:v>
      </x:c>
      <x:c r="AL26" s="64" t="n">
        <x:f>IF(AA26&gt;0,ROUND(O26*Parametres_Paie!$B$12*Parametres_Paie!$B$14,0),0)</x:f>
        <x:v>1000</x:v>
      </x:c>
      <x:c r="AM26" s="64" t="n">
        <x:f>ROUND(AA26*Parametres_Paie!$B$15,0)</x:f>
        <x:v>11397</x:v>
      </x:c>
      <x:c r="AN26" s="64" t="n">
        <x:f>ROUND(AA26*Parametres_Paie!$B$16,0)</x:f>
        <x:v>3799</x:v>
      </x:c>
      <x:c r="AO26" s="64" t="n">
        <x:f>ROUND(AA26*Parametres_Paie!$B$17,0)</x:f>
        <x:v>5699</x:v>
      </x:c>
      <x:c r="AP26" s="64" t="n">
        <x:f>ROUND(AA26*Parametres_Paie!$B$18,0)</x:f>
        <x:v>5699</x:v>
      </x:c>
      <x:c r="AQ26" s="64" t="n">
        <x:f>AH26+AI26+AJ26+AK26+AL26+AM26+AN26+AO26+AP26</x:f>
        <x:v>106540</x:v>
      </x:c>
      <x:c r="AR26" s="64" t="n">
        <x:f>Y26+S26</x:f>
        <x:v>30000</x:v>
      </x:c>
      <x:c r="AS26" s="64" t="n">
        <x:f>AA26+AR26</x:f>
        <x:v>979784</x:v>
      </x:c>
      <x:c r="AT26" s="64" t="n">
        <x:f>AS26-AG26</x:f>
        <x:v>750000</x:v>
      </x:c>
      <x:c r="AU26" s="64" t="n">
        <x:f>AS26+AQ26</x:f>
        <x:v>1086324</x:v>
      </x:c>
      <x:c r="AV26" s="25" t="str">
        <x:f>IF(H26&lt;&gt;"Actif","Inactif/à vérifier",IF(K26=0,"Profil paie à compléter",IF(J26="","CNPS manquant","OK")))</x:f>
        <x:v>OK</x:v>
      </x:c>
      <x:c r="AW26" s="25" t="str">
        <x:f>IFERROR(HYPERLINK("#'Bulletins_Impression'!A"&amp;MATCH(A26,Bulletins_Impression!$B:$B,0),"Voir bulletin"),"Voir bulletin")</x:f>
        <x:v>Voir bulletin</x:v>
      </x:c>
    </x:row>
    <x:row r="27">
      <x:c r="A27" s="25" t="str">
        <x:v>0088F</x:v>
      </x:c>
      <x:c r="B27" s="25" t="str">
        <x:v>LAWSON</x:v>
      </x:c>
      <x:c r="C27" s="25" t="str">
        <x:v>Micheline</x:v>
      </x:c>
      <x:c r="D27" s="25" t="str">
        <x:v>Direction des Services aux Membres et des Programmes</x:v>
      </x:c>
      <x:c r="E27" s="25" t="str">
        <x:v>DMS</x:v>
      </x:c>
      <x:c r="F27" s="25" t="str">
        <x:v>Responsable Evènementiel &amp; Marketing</x:v>
      </x:c>
      <x:c r="G27" s="25" t="str">
        <x:v>CDI</x:v>
      </x:c>
      <x:c r="H27" s="25" t="str">
        <x:v>Actif</x:v>
      </x:c>
      <x:c r="I27" s="54" t="n">
        <x:v>44958</x:v>
      </x:c>
      <x:c r="J27" s="25" t="n">
        <x:v>202300054873</x:v>
      </x:c>
      <x:c r="K27" s="64" t="n">
        <x:f>IFERROR(INDEX(Profils_Paie!$B:$B,MATCH($A27,Profils_Paie!$A:$A,0)),0)</x:f>
        <x:v>0</x:v>
      </x:c>
      <x:c r="L27" s="64" t="n">
        <x:f>IFERROR(INDEX(Profils_Paie!$C:$C,MATCH($A27,Profils_Paie!$A:$A,0)),0)</x:f>
        <x:v>0</x:v>
      </x:c>
      <x:c r="M27" s="25" t="n">
        <x:f>IFERROR(INDEX(Profils_Paie!$D:$D,MATCH($A27,Profils_Paie!$A:$A,0)),0)</x:f>
        <x:v>1</x:v>
      </x:c>
      <x:c r="N27" s="25" t="n">
        <x:f>IFERROR(INDEX(Profils_Paie!$E:$E,MATCH($A27,Profils_Paie!$A:$A,0)),0)</x:f>
        <x:v>1</x:v>
      </x:c>
      <x:c r="O27" s="25" t="n">
        <x:f>IFERROR(INDEX(Profils_Paie!$F:$F,MATCH($A27,Profils_Paie!$A:$A,0)),0)</x:f>
        <x:v>1</x:v>
      </x:c>
      <x:c r="P27" s="64" t="n">
        <x:f>IFERROR(INDEX(Profils_Paie!$G:$G,MATCH($A27,Profils_Paie!$A:$A,0)),0)</x:f>
        <x:v>0</x:v>
      </x:c>
      <x:c r="Q27" s="64" t="n">
        <x:f>IFERROR(INDEX(Profils_Paie!$H:$H,MATCH($A27,Profils_Paie!$A:$A,0)),0)</x:f>
        <x:v>0</x:v>
      </x:c>
      <x:c r="R27" s="64" t="n">
        <x:f>IFERROR(INDEX(Profils_Paie!$I:$I,MATCH($A27,Profils_Paie!$A:$A,0)),0)</x:f>
        <x:v>0</x:v>
      </x:c>
      <x:c r="S27" s="64" t="n">
        <x:f>IFERROR(INDEX(Profils_Paie!$J:$J,MATCH($A27,Profils_Paie!$A:$A,0)),0)</x:f>
        <x:v>0</x:v>
      </x:c>
      <x:c r="T27" s="66" t="n">
        <x:f>IFERROR(INDEX(Profils_Paie!$K:$K,MATCH($A27,Profils_Paie!$A:$A,0)),0)</x:f>
        <x:v>0.02</x:v>
      </x:c>
      <x:c r="U27" s="25" t="n">
        <x:f>IFERROR(INT((Parametres_Paie!$B$24-I27)/365.25),0)</x:f>
        <x:v>1</x:v>
      </x:c>
      <x:c r="V27" s="25" t="str">
        <x:f>IF(I27="","",U27&amp;" ans (calcul période)")</x:f>
        <x:v>1 ans (calcul période)</x:v>
      </x:c>
      <x:c r="W27" s="66" t="n">
        <x:f>IF(U27&lt;2,0,MIN(U27,25)/100)</x:f>
        <x:v>0</x:v>
      </x:c>
      <x:c r="X27" s="64" t="n">
        <x:f>ROUND(K27*W27,0)</x:f>
        <x:v>0</x:v>
      </x:c>
      <x:c r="Y27" s="64" t="n">
        <x:f>MIN(P27,Parametres_Paie!$B$11)</x:f>
        <x:v>0</x:v>
      </x:c>
      <x:c r="Z27" s="64" t="n">
        <x:f>MAX(P27-Parametres_Paie!$B$11,0)</x:f>
        <x:v>0</x:v>
      </x:c>
      <x:c r="AA27" s="64" t="n">
        <x:f>ROUND(K27+L27+X27+Q27+R27+Z27,0)</x:f>
        <x:v>0</x:v>
      </x:c>
      <x:c r="AB27" s="64" t="n">
        <x:f>IFERROR(IF(INDEX(Profils_Paie!$L:$L,MATCH($A27,Profils_Paie!$A:$A,0))="",MIN(AA27,Parametres_Paie!$B$6),MIN(INDEX(Profils_Paie!$L:$L,MATCH($A27,Profils_Paie!$A:$A,0)),Parametres_Paie!$B$6)),MIN(AA27,Parametres_Paie!$B$6))</x:f>
        <x:v>0</x:v>
      </x:c>
      <x:c r="AC27" s="64" t="n">
        <x:f>ROUND(AB27*Parametres_Paie!$B$4,0)</x:f>
        <x:v>0</x:v>
      </x:c>
      <x:c r="AD27" s="64" t="n">
        <x:f>IF(AA27&gt;0,ROUND(N27*Parametres_Paie!$B$12*Parametres_Paie!$B$13,0),0)</x:f>
        <x:v>0</x:v>
      </x:c>
      <x:c r="AE27" s="64" t="n">
        <x:f>IFERROR(INDEX(Parametres_Paie!$G$4:$G$12,MATCH(M27,Parametres_Paie!$F$4:$F$12,0)),0)</x:f>
        <x:v>0</x:v>
      </x:c>
      <x:c r="AF27" s="64" t="n">
        <x:f>ROUND(MAX(0,MAX(MIN(AA27,Parametres_Paie!$K$4)-Parametres_Paie!$J$4,0)*Parametres_Paie!$L$4+MAX(MIN(AA27,Parametres_Paie!$K$5)-Parametres_Paie!$J$5,0)*Parametres_Paie!$L$5+MAX(MIN(AA27,Parametres_Paie!$K$6)-Parametres_Paie!$J$6,0)*Parametres_Paie!$L$6+MAX(MIN(AA27,Parametres_Paie!$K$7)-Parametres_Paie!$J$7,0)*Parametres_Paie!$L$7+MAX(MIN(AA27,Parametres_Paie!$K$8)-Parametres_Paie!$J$8,0)*Parametres_Paie!$L$8+MAX(MIN(AA27,Parametres_Paie!$K$9)-Parametres_Paie!$J$9,0)*Parametres_Paie!$L$9-AE27),0)</x:f>
        <x:v>0</x:v>
      </x:c>
      <x:c r="AG27" s="64" t="n">
        <x:f>AC27+AD27+AF27</x:f>
        <x:v>0</x:v>
      </x:c>
      <x:c r="AH27" s="64" t="n">
        <x:f>ROUND(AB27*Parametres_Paie!$B$5,0)</x:f>
        <x:v>0</x:v>
      </x:c>
      <x:c r="AI27" s="64" t="n">
        <x:f>IF(AA27&gt;0,ROUND(Parametres_Paie!$B$7*Parametres_Paie!$B$8,0),0)</x:f>
        <x:v>0</x:v>
      </x:c>
      <x:c r="AJ27" s="64" t="n">
        <x:f>IF(AA27&gt;0,ROUND(Parametres_Paie!$B$7*T27,0),0)</x:f>
        <x:v>0</x:v>
      </x:c>
      <x:c r="AK27" s="64" t="n">
        <x:f>IF(AA27&gt;0,ROUND(Parametres_Paie!$B$7*Parametres_Paie!$B$9,0),0)</x:f>
        <x:v>0</x:v>
      </x:c>
      <x:c r="AL27" s="64" t="n">
        <x:f>IF(AA27&gt;0,ROUND(O27*Parametres_Paie!$B$12*Parametres_Paie!$B$14,0),0)</x:f>
        <x:v>0</x:v>
      </x:c>
      <x:c r="AM27" s="64" t="n">
        <x:f>ROUND(AA27*Parametres_Paie!$B$15,0)</x:f>
        <x:v>0</x:v>
      </x:c>
      <x:c r="AN27" s="64" t="n">
        <x:f>ROUND(AA27*Parametres_Paie!$B$16,0)</x:f>
        <x:v>0</x:v>
      </x:c>
      <x:c r="AO27" s="64" t="n">
        <x:f>ROUND(AA27*Parametres_Paie!$B$17,0)</x:f>
        <x:v>0</x:v>
      </x:c>
      <x:c r="AP27" s="64" t="n">
        <x:f>ROUND(AA27*Parametres_Paie!$B$18,0)</x:f>
        <x:v>0</x:v>
      </x:c>
      <x:c r="AQ27" s="64" t="n">
        <x:f>AH27+AI27+AJ27+AK27+AL27+AM27+AN27+AO27+AP27</x:f>
        <x:v>0</x:v>
      </x:c>
      <x:c r="AR27" s="64" t="n">
        <x:f>Y27+S27</x:f>
        <x:v>0</x:v>
      </x:c>
      <x:c r="AS27" s="64" t="n">
        <x:f>AA27+AR27</x:f>
        <x:v>0</x:v>
      </x:c>
      <x:c r="AT27" s="64" t="n">
        <x:f>AS27-AG27</x:f>
        <x:v>0</x:v>
      </x:c>
      <x:c r="AU27" s="64" t="n">
        <x:f>AS27+AQ27</x:f>
        <x:v>0</x:v>
      </x:c>
      <x:c r="AV27" s="25" t="str">
        <x:f>IF(H27&lt;&gt;"Actif","Inactif/à vérifier",IF(K27=0,"Profil paie à compléter",IF(J27="","CNPS manquant","OK")))</x:f>
        <x:v>Profil paie à compléter</x:v>
      </x:c>
      <x:c r="AW27" s="25" t="str">
        <x:f>IFERROR(HYPERLINK("#'Bulletins_Impression'!A"&amp;MATCH(A27,Bulletins_Impression!$B:$B,0),"Voir bulletin"),"Voir bulletin")</x:f>
        <x:v>Voir bulletin</x:v>
      </x:c>
    </x:row>
    <x:row r="28">
      <x:c r="A28" s="25" t="str">
        <x:v>0094M</x:v>
      </x:c>
      <x:c r="B28" s="25" t="str">
        <x:v>KANGA</x:v>
      </x:c>
      <x:c r="C28" s="25" t="str">
        <x:v>Bénédicte Ahou</x:v>
      </x:c>
      <x:c r="D28" s="25" t="str">
        <x:v>Direction des Services aux Membres et des Programmes</x:v>
      </x:c>
      <x:c r="E28" s="25" t="str">
        <x:v>DP</x:v>
      </x:c>
      <x:c r="F28" s="25" t="str">
        <x:v>Assistante Directions des Programmes</x:v>
      </x:c>
      <x:c r="G28" s="25" t="str">
        <x:v>CDI</x:v>
      </x:c>
      <x:c r="H28" s="25" t="str">
        <x:v>Actif</x:v>
      </x:c>
      <x:c r="I28" s="54" t="n">
        <x:v>45061</x:v>
      </x:c>
      <x:c r="J28" s="25" t="str"/>
      <x:c r="K28" s="64" t="n">
        <x:f>IFERROR(INDEX(Profils_Paie!$B:$B,MATCH($A28,Profils_Paie!$A:$A,0)),0)</x:f>
        <x:v>0</x:v>
      </x:c>
      <x:c r="L28" s="64" t="n">
        <x:f>IFERROR(INDEX(Profils_Paie!$C:$C,MATCH($A28,Profils_Paie!$A:$A,0)),0)</x:f>
        <x:v>0</x:v>
      </x:c>
      <x:c r="M28" s="25" t="n">
        <x:f>IFERROR(INDEX(Profils_Paie!$D:$D,MATCH($A28,Profils_Paie!$A:$A,0)),0)</x:f>
        <x:v>1</x:v>
      </x:c>
      <x:c r="N28" s="25" t="n">
        <x:f>IFERROR(INDEX(Profils_Paie!$E:$E,MATCH($A28,Profils_Paie!$A:$A,0)),0)</x:f>
        <x:v>1</x:v>
      </x:c>
      <x:c r="O28" s="25" t="n">
        <x:f>IFERROR(INDEX(Profils_Paie!$F:$F,MATCH($A28,Profils_Paie!$A:$A,0)),0)</x:f>
        <x:v>1</x:v>
      </x:c>
      <x:c r="P28" s="64" t="n">
        <x:f>IFERROR(INDEX(Profils_Paie!$G:$G,MATCH($A28,Profils_Paie!$A:$A,0)),0)</x:f>
        <x:v>0</x:v>
      </x:c>
      <x:c r="Q28" s="64" t="n">
        <x:f>IFERROR(INDEX(Profils_Paie!$H:$H,MATCH($A28,Profils_Paie!$A:$A,0)),0)</x:f>
        <x:v>0</x:v>
      </x:c>
      <x:c r="R28" s="64" t="n">
        <x:f>IFERROR(INDEX(Profils_Paie!$I:$I,MATCH($A28,Profils_Paie!$A:$A,0)),0)</x:f>
        <x:v>0</x:v>
      </x:c>
      <x:c r="S28" s="64" t="n">
        <x:f>IFERROR(INDEX(Profils_Paie!$J:$J,MATCH($A28,Profils_Paie!$A:$A,0)),0)</x:f>
        <x:v>0</x:v>
      </x:c>
      <x:c r="T28" s="66" t="n">
        <x:f>IFERROR(INDEX(Profils_Paie!$K:$K,MATCH($A28,Profils_Paie!$A:$A,0)),0)</x:f>
        <x:v>0.02</x:v>
      </x:c>
      <x:c r="U28" s="25" t="n">
        <x:f>IFERROR(INT((Parametres_Paie!$B$24-I28)/365.25),0)</x:f>
        <x:v>1</x:v>
      </x:c>
      <x:c r="V28" s="25" t="str">
        <x:f>IF(I28="","",U28&amp;" ans (calcul période)")</x:f>
        <x:v>1 ans (calcul période)</x:v>
      </x:c>
      <x:c r="W28" s="66" t="n">
        <x:f>IF(U28&lt;2,0,MIN(U28,25)/100)</x:f>
        <x:v>0</x:v>
      </x:c>
      <x:c r="X28" s="64" t="n">
        <x:f>ROUND(K28*W28,0)</x:f>
        <x:v>0</x:v>
      </x:c>
      <x:c r="Y28" s="64" t="n">
        <x:f>MIN(P28,Parametres_Paie!$B$11)</x:f>
        <x:v>0</x:v>
      </x:c>
      <x:c r="Z28" s="64" t="n">
        <x:f>MAX(P28-Parametres_Paie!$B$11,0)</x:f>
        <x:v>0</x:v>
      </x:c>
      <x:c r="AA28" s="64" t="n">
        <x:f>ROUND(K28+L28+X28+Q28+R28+Z28,0)</x:f>
        <x:v>0</x:v>
      </x:c>
      <x:c r="AB28" s="64" t="n">
        <x:f>IFERROR(IF(INDEX(Profils_Paie!$L:$L,MATCH($A28,Profils_Paie!$A:$A,0))="",MIN(AA28,Parametres_Paie!$B$6),MIN(INDEX(Profils_Paie!$L:$L,MATCH($A28,Profils_Paie!$A:$A,0)),Parametres_Paie!$B$6)),MIN(AA28,Parametres_Paie!$B$6))</x:f>
        <x:v>0</x:v>
      </x:c>
      <x:c r="AC28" s="64" t="n">
        <x:f>ROUND(AB28*Parametres_Paie!$B$4,0)</x:f>
        <x:v>0</x:v>
      </x:c>
      <x:c r="AD28" s="64" t="n">
        <x:f>IF(AA28&gt;0,ROUND(N28*Parametres_Paie!$B$12*Parametres_Paie!$B$13,0),0)</x:f>
        <x:v>0</x:v>
      </x:c>
      <x:c r="AE28" s="64" t="n">
        <x:f>IFERROR(INDEX(Parametres_Paie!$G$4:$G$12,MATCH(M28,Parametres_Paie!$F$4:$F$12,0)),0)</x:f>
        <x:v>0</x:v>
      </x:c>
      <x:c r="AF28" s="64" t="n">
        <x:f>ROUND(MAX(0,MAX(MIN(AA28,Parametres_Paie!$K$4)-Parametres_Paie!$J$4,0)*Parametres_Paie!$L$4+MAX(MIN(AA28,Parametres_Paie!$K$5)-Parametres_Paie!$J$5,0)*Parametres_Paie!$L$5+MAX(MIN(AA28,Parametres_Paie!$K$6)-Parametres_Paie!$J$6,0)*Parametres_Paie!$L$6+MAX(MIN(AA28,Parametres_Paie!$K$7)-Parametres_Paie!$J$7,0)*Parametres_Paie!$L$7+MAX(MIN(AA28,Parametres_Paie!$K$8)-Parametres_Paie!$J$8,0)*Parametres_Paie!$L$8+MAX(MIN(AA28,Parametres_Paie!$K$9)-Parametres_Paie!$J$9,0)*Parametres_Paie!$L$9-AE28),0)</x:f>
        <x:v>0</x:v>
      </x:c>
      <x:c r="AG28" s="64" t="n">
        <x:f>AC28+AD28+AF28</x:f>
        <x:v>0</x:v>
      </x:c>
      <x:c r="AH28" s="64" t="n">
        <x:f>ROUND(AB28*Parametres_Paie!$B$5,0)</x:f>
        <x:v>0</x:v>
      </x:c>
      <x:c r="AI28" s="64" t="n">
        <x:f>IF(AA28&gt;0,ROUND(Parametres_Paie!$B$7*Parametres_Paie!$B$8,0),0)</x:f>
        <x:v>0</x:v>
      </x:c>
      <x:c r="AJ28" s="64" t="n">
        <x:f>IF(AA28&gt;0,ROUND(Parametres_Paie!$B$7*T28,0),0)</x:f>
        <x:v>0</x:v>
      </x:c>
      <x:c r="AK28" s="64" t="n">
        <x:f>IF(AA28&gt;0,ROUND(Parametres_Paie!$B$7*Parametres_Paie!$B$9,0),0)</x:f>
        <x:v>0</x:v>
      </x:c>
      <x:c r="AL28" s="64" t="n">
        <x:f>IF(AA28&gt;0,ROUND(O28*Parametres_Paie!$B$12*Parametres_Paie!$B$14,0),0)</x:f>
        <x:v>0</x:v>
      </x:c>
      <x:c r="AM28" s="64" t="n">
        <x:f>ROUND(AA28*Parametres_Paie!$B$15,0)</x:f>
        <x:v>0</x:v>
      </x:c>
      <x:c r="AN28" s="64" t="n">
        <x:f>ROUND(AA28*Parametres_Paie!$B$16,0)</x:f>
        <x:v>0</x:v>
      </x:c>
      <x:c r="AO28" s="64" t="n">
        <x:f>ROUND(AA28*Parametres_Paie!$B$17,0)</x:f>
        <x:v>0</x:v>
      </x:c>
      <x:c r="AP28" s="64" t="n">
        <x:f>ROUND(AA28*Parametres_Paie!$B$18,0)</x:f>
        <x:v>0</x:v>
      </x:c>
      <x:c r="AQ28" s="64" t="n">
        <x:f>AH28+AI28+AJ28+AK28+AL28+AM28+AN28+AO28+AP28</x:f>
        <x:v>0</x:v>
      </x:c>
      <x:c r="AR28" s="64" t="n">
        <x:f>Y28+S28</x:f>
        <x:v>0</x:v>
      </x:c>
      <x:c r="AS28" s="64" t="n">
        <x:f>AA28+AR28</x:f>
        <x:v>0</x:v>
      </x:c>
      <x:c r="AT28" s="64" t="n">
        <x:f>AS28-AG28</x:f>
        <x:v>0</x:v>
      </x:c>
      <x:c r="AU28" s="64" t="n">
        <x:f>AS28+AQ28</x:f>
        <x:v>0</x:v>
      </x:c>
      <x:c r="AV28" s="25" t="str">
        <x:f>IF(H28&lt;&gt;"Actif","Inactif/à vérifier",IF(K28=0,"Profil paie à compléter",IF(J28="","CNPS manquant","OK")))</x:f>
        <x:v>Profil paie à compléter</x:v>
      </x:c>
      <x:c r="AW28" s="25" t="str">
        <x:f>IFERROR(HYPERLINK("#'Bulletins_Impression'!A"&amp;MATCH(A28,Bulletins_Impression!$B:$B,0),"Voir bulletin"),"Voir bulletin")</x:f>
        <x:v>Voir bulletin</x:v>
      </x:c>
    </x:row>
    <x:row r="29">
      <x:c r="A29" s="25" t="str">
        <x:v>0096A</x:v>
      </x:c>
      <x:c r="B29" s="25" t="str">
        <x:v>FADIGA</x:v>
      </x:c>
      <x:c r="C29" s="25" t="str">
        <x:v>Aboulaye</x:v>
      </x:c>
      <x:c r="D29" s="25" t="str">
        <x:v>Direction Administrative et Financière</x:v>
      </x:c>
      <x:c r="E29" s="25" t="str">
        <x:v>DAF</x:v>
      </x:c>
      <x:c r="F29" s="25" t="str">
        <x:v>Assistant Achats</x:v>
      </x:c>
      <x:c r="G29" s="25" t="str">
        <x:v>CDD</x:v>
      </x:c>
      <x:c r="H29" s="25" t="str">
        <x:v>Actif</x:v>
      </x:c>
      <x:c r="I29" s="54" t="n">
        <x:v>45139</x:v>
      </x:c>
      <x:c r="J29" s="25" t="n">
        <x:v>186011269150</x:v>
      </x:c>
      <x:c r="K29" s="64" t="n">
        <x:f>IFERROR(INDEX(Profils_Paie!$B:$B,MATCH($A29,Profils_Paie!$A:$A,0)),0)</x:f>
        <x:v>0</x:v>
      </x:c>
      <x:c r="L29" s="64" t="n">
        <x:f>IFERROR(INDEX(Profils_Paie!$C:$C,MATCH($A29,Profils_Paie!$A:$A,0)),0)</x:f>
        <x:v>0</x:v>
      </x:c>
      <x:c r="M29" s="25" t="n">
        <x:f>IFERROR(INDEX(Profils_Paie!$D:$D,MATCH($A29,Profils_Paie!$A:$A,0)),0)</x:f>
        <x:v>1</x:v>
      </x:c>
      <x:c r="N29" s="25" t="n">
        <x:f>IFERROR(INDEX(Profils_Paie!$E:$E,MATCH($A29,Profils_Paie!$A:$A,0)),0)</x:f>
        <x:v>1</x:v>
      </x:c>
      <x:c r="O29" s="25" t="n">
        <x:f>IFERROR(INDEX(Profils_Paie!$F:$F,MATCH($A29,Profils_Paie!$A:$A,0)),0)</x:f>
        <x:v>1</x:v>
      </x:c>
      <x:c r="P29" s="64" t="n">
        <x:f>IFERROR(INDEX(Profils_Paie!$G:$G,MATCH($A29,Profils_Paie!$A:$A,0)),0)</x:f>
        <x:v>0</x:v>
      </x:c>
      <x:c r="Q29" s="64" t="n">
        <x:f>IFERROR(INDEX(Profils_Paie!$H:$H,MATCH($A29,Profils_Paie!$A:$A,0)),0)</x:f>
        <x:v>0</x:v>
      </x:c>
      <x:c r="R29" s="64" t="n">
        <x:f>IFERROR(INDEX(Profils_Paie!$I:$I,MATCH($A29,Profils_Paie!$A:$A,0)),0)</x:f>
        <x:v>0</x:v>
      </x:c>
      <x:c r="S29" s="64" t="n">
        <x:f>IFERROR(INDEX(Profils_Paie!$J:$J,MATCH($A29,Profils_Paie!$A:$A,0)),0)</x:f>
        <x:v>0</x:v>
      </x:c>
      <x:c r="T29" s="66" t="n">
        <x:f>IFERROR(INDEX(Profils_Paie!$K:$K,MATCH($A29,Profils_Paie!$A:$A,0)),0)</x:f>
        <x:v>0.02</x:v>
      </x:c>
      <x:c r="U29" s="25" t="n">
        <x:f>IFERROR(INT((Parametres_Paie!$B$24-I29)/365.25),0)</x:f>
        <x:v>1</x:v>
      </x:c>
      <x:c r="V29" s="25" t="str">
        <x:f>IF(I29="","",U29&amp;" ans (calcul période)")</x:f>
        <x:v>1 ans (calcul période)</x:v>
      </x:c>
      <x:c r="W29" s="66" t="n">
        <x:f>IF(U29&lt;2,0,MIN(U29,25)/100)</x:f>
        <x:v>0</x:v>
      </x:c>
      <x:c r="X29" s="64" t="n">
        <x:f>ROUND(K29*W29,0)</x:f>
        <x:v>0</x:v>
      </x:c>
      <x:c r="Y29" s="64" t="n">
        <x:f>MIN(P29,Parametres_Paie!$B$11)</x:f>
        <x:v>0</x:v>
      </x:c>
      <x:c r="Z29" s="64" t="n">
        <x:f>MAX(P29-Parametres_Paie!$B$11,0)</x:f>
        <x:v>0</x:v>
      </x:c>
      <x:c r="AA29" s="64" t="n">
        <x:f>ROUND(K29+L29+X29+Q29+R29+Z29,0)</x:f>
        <x:v>0</x:v>
      </x:c>
      <x:c r="AB29" s="64" t="n">
        <x:f>IFERROR(IF(INDEX(Profils_Paie!$L:$L,MATCH($A29,Profils_Paie!$A:$A,0))="",MIN(AA29,Parametres_Paie!$B$6),MIN(INDEX(Profils_Paie!$L:$L,MATCH($A29,Profils_Paie!$A:$A,0)),Parametres_Paie!$B$6)),MIN(AA29,Parametres_Paie!$B$6))</x:f>
        <x:v>0</x:v>
      </x:c>
      <x:c r="AC29" s="64" t="n">
        <x:f>ROUND(AB29*Parametres_Paie!$B$4,0)</x:f>
        <x:v>0</x:v>
      </x:c>
      <x:c r="AD29" s="64" t="n">
        <x:f>IF(AA29&gt;0,ROUND(N29*Parametres_Paie!$B$12*Parametres_Paie!$B$13,0),0)</x:f>
        <x:v>0</x:v>
      </x:c>
      <x:c r="AE29" s="64" t="n">
        <x:f>IFERROR(INDEX(Parametres_Paie!$G$4:$G$12,MATCH(M29,Parametres_Paie!$F$4:$F$12,0)),0)</x:f>
        <x:v>0</x:v>
      </x:c>
      <x:c r="AF29" s="64" t="n">
        <x:f>ROUND(MAX(0,MAX(MIN(AA29,Parametres_Paie!$K$4)-Parametres_Paie!$J$4,0)*Parametres_Paie!$L$4+MAX(MIN(AA29,Parametres_Paie!$K$5)-Parametres_Paie!$J$5,0)*Parametres_Paie!$L$5+MAX(MIN(AA29,Parametres_Paie!$K$6)-Parametres_Paie!$J$6,0)*Parametres_Paie!$L$6+MAX(MIN(AA29,Parametres_Paie!$K$7)-Parametres_Paie!$J$7,0)*Parametres_Paie!$L$7+MAX(MIN(AA29,Parametres_Paie!$K$8)-Parametres_Paie!$J$8,0)*Parametres_Paie!$L$8+MAX(MIN(AA29,Parametres_Paie!$K$9)-Parametres_Paie!$J$9,0)*Parametres_Paie!$L$9-AE29),0)</x:f>
        <x:v>0</x:v>
      </x:c>
      <x:c r="AG29" s="64" t="n">
        <x:f>AC29+AD29+AF29</x:f>
        <x:v>0</x:v>
      </x:c>
      <x:c r="AH29" s="64" t="n">
        <x:f>ROUND(AB29*Parametres_Paie!$B$5,0)</x:f>
        <x:v>0</x:v>
      </x:c>
      <x:c r="AI29" s="64" t="n">
        <x:f>IF(AA29&gt;0,ROUND(Parametres_Paie!$B$7*Parametres_Paie!$B$8,0),0)</x:f>
        <x:v>0</x:v>
      </x:c>
      <x:c r="AJ29" s="64" t="n">
        <x:f>IF(AA29&gt;0,ROUND(Parametres_Paie!$B$7*T29,0),0)</x:f>
        <x:v>0</x:v>
      </x:c>
      <x:c r="AK29" s="64" t="n">
        <x:f>IF(AA29&gt;0,ROUND(Parametres_Paie!$B$7*Parametres_Paie!$B$9,0),0)</x:f>
        <x:v>0</x:v>
      </x:c>
      <x:c r="AL29" s="64" t="n">
        <x:f>IF(AA29&gt;0,ROUND(O29*Parametres_Paie!$B$12*Parametres_Paie!$B$14,0),0)</x:f>
        <x:v>0</x:v>
      </x:c>
      <x:c r="AM29" s="64" t="n">
        <x:f>ROUND(AA29*Parametres_Paie!$B$15,0)</x:f>
        <x:v>0</x:v>
      </x:c>
      <x:c r="AN29" s="64" t="n">
        <x:f>ROUND(AA29*Parametres_Paie!$B$16,0)</x:f>
        <x:v>0</x:v>
      </x:c>
      <x:c r="AO29" s="64" t="n">
        <x:f>ROUND(AA29*Parametres_Paie!$B$17,0)</x:f>
        <x:v>0</x:v>
      </x:c>
      <x:c r="AP29" s="64" t="n">
        <x:f>ROUND(AA29*Parametres_Paie!$B$18,0)</x:f>
        <x:v>0</x:v>
      </x:c>
      <x:c r="AQ29" s="64" t="n">
        <x:f>AH29+AI29+AJ29+AK29+AL29+AM29+AN29+AO29+AP29</x:f>
        <x:v>0</x:v>
      </x:c>
      <x:c r="AR29" s="64" t="n">
        <x:f>Y29+S29</x:f>
        <x:v>0</x:v>
      </x:c>
      <x:c r="AS29" s="64" t="n">
        <x:f>AA29+AR29</x:f>
        <x:v>0</x:v>
      </x:c>
      <x:c r="AT29" s="64" t="n">
        <x:f>AS29-AG29</x:f>
        <x:v>0</x:v>
      </x:c>
      <x:c r="AU29" s="64" t="n">
        <x:f>AS29+AQ29</x:f>
        <x:v>0</x:v>
      </x:c>
      <x:c r="AV29" s="25" t="str">
        <x:f>IF(H29&lt;&gt;"Actif","Inactif/à vérifier",IF(K29=0,"Profil paie à compléter",IF(J29="","CNPS manquant","OK")))</x:f>
        <x:v>Profil paie à compléter</x:v>
      </x:c>
      <x:c r="AW29" s="25" t="str">
        <x:f>IFERROR(HYPERLINK("#'Bulletins_Impression'!A"&amp;MATCH(A29,Bulletins_Impression!$B:$B,0),"Voir bulletin"),"Voir bulletin")</x:f>
        <x:v>Voir bulletin</x:v>
      </x:c>
    </x:row>
    <x:row r="30">
      <x:c r="A30" s="25" t="str">
        <x:v>0098S</x:v>
      </x:c>
      <x:c r="B30" s="25" t="str">
        <x:v>MUSIIME</x:v>
      </x:c>
      <x:c r="C30" s="25" t="str">
        <x:v>Julian</x:v>
      </x:c>
      <x:c r="D30" s="25" t="str">
        <x:v>Direction des Services aux Membres et des Programmes</x:v>
      </x:c>
      <x:c r="E30" s="25" t="str">
        <x:v>DP</x:v>
      </x:c>
      <x:c r="F30" s="25" t="str">
        <x:v>Chargée de Programme Assainissement</x:v>
      </x:c>
      <x:c r="G30" s="25" t="str">
        <x:v>CDD</x:v>
      </x:c>
      <x:c r="H30" s="25" t="str">
        <x:v>Actif</x:v>
      </x:c>
      <x:c r="I30" s="54" t="n">
        <x:v>45170</x:v>
      </x:c>
      <x:c r="J30" s="25" t="n">
        <x:v>202300121456</x:v>
      </x:c>
      <x:c r="K30" s="64" t="n">
        <x:f>IFERROR(INDEX(Profils_Paie!$B:$B,MATCH($A30,Profils_Paie!$A:$A,0)),0)</x:f>
        <x:v>0</x:v>
      </x:c>
      <x:c r="L30" s="64" t="n">
        <x:f>IFERROR(INDEX(Profils_Paie!$C:$C,MATCH($A30,Profils_Paie!$A:$A,0)),0)</x:f>
        <x:v>0</x:v>
      </x:c>
      <x:c r="M30" s="25" t="n">
        <x:f>IFERROR(INDEX(Profils_Paie!$D:$D,MATCH($A30,Profils_Paie!$A:$A,0)),0)</x:f>
        <x:v>1</x:v>
      </x:c>
      <x:c r="N30" s="25" t="n">
        <x:f>IFERROR(INDEX(Profils_Paie!$E:$E,MATCH($A30,Profils_Paie!$A:$A,0)),0)</x:f>
        <x:v>1</x:v>
      </x:c>
      <x:c r="O30" s="25" t="n">
        <x:f>IFERROR(INDEX(Profils_Paie!$F:$F,MATCH($A30,Profils_Paie!$A:$A,0)),0)</x:f>
        <x:v>1</x:v>
      </x:c>
      <x:c r="P30" s="64" t="n">
        <x:f>IFERROR(INDEX(Profils_Paie!$G:$G,MATCH($A30,Profils_Paie!$A:$A,0)),0)</x:f>
        <x:v>0</x:v>
      </x:c>
      <x:c r="Q30" s="64" t="n">
        <x:f>IFERROR(INDEX(Profils_Paie!$H:$H,MATCH($A30,Profils_Paie!$A:$A,0)),0)</x:f>
        <x:v>0</x:v>
      </x:c>
      <x:c r="R30" s="64" t="n">
        <x:f>IFERROR(INDEX(Profils_Paie!$I:$I,MATCH($A30,Profils_Paie!$A:$A,0)),0)</x:f>
        <x:v>0</x:v>
      </x:c>
      <x:c r="S30" s="64" t="n">
        <x:f>IFERROR(INDEX(Profils_Paie!$J:$J,MATCH($A30,Profils_Paie!$A:$A,0)),0)</x:f>
        <x:v>0</x:v>
      </x:c>
      <x:c r="T30" s="66" t="n">
        <x:f>IFERROR(INDEX(Profils_Paie!$K:$K,MATCH($A30,Profils_Paie!$A:$A,0)),0)</x:f>
        <x:v>0.02</x:v>
      </x:c>
      <x:c r="U30" s="25" t="n">
        <x:f>IFERROR(INT((Parametres_Paie!$B$24-I30)/365.25),0)</x:f>
        <x:v>1</x:v>
      </x:c>
      <x:c r="V30" s="25" t="str">
        <x:f>IF(I30="","",U30&amp;" ans (calcul période)")</x:f>
        <x:v>1 ans (calcul période)</x:v>
      </x:c>
      <x:c r="W30" s="66" t="n">
        <x:f>IF(U30&lt;2,0,MIN(U30,25)/100)</x:f>
        <x:v>0</x:v>
      </x:c>
      <x:c r="X30" s="64" t="n">
        <x:f>ROUND(K30*W30,0)</x:f>
        <x:v>0</x:v>
      </x:c>
      <x:c r="Y30" s="64" t="n">
        <x:f>MIN(P30,Parametres_Paie!$B$11)</x:f>
        <x:v>0</x:v>
      </x:c>
      <x:c r="Z30" s="64" t="n">
        <x:f>MAX(P30-Parametres_Paie!$B$11,0)</x:f>
        <x:v>0</x:v>
      </x:c>
      <x:c r="AA30" s="64" t="n">
        <x:f>ROUND(K30+L30+X30+Q30+R30+Z30,0)</x:f>
        <x:v>0</x:v>
      </x:c>
      <x:c r="AB30" s="64" t="n">
        <x:f>IFERROR(IF(INDEX(Profils_Paie!$L:$L,MATCH($A30,Profils_Paie!$A:$A,0))="",MIN(AA30,Parametres_Paie!$B$6),MIN(INDEX(Profils_Paie!$L:$L,MATCH($A30,Profils_Paie!$A:$A,0)),Parametres_Paie!$B$6)),MIN(AA30,Parametres_Paie!$B$6))</x:f>
        <x:v>0</x:v>
      </x:c>
      <x:c r="AC30" s="64" t="n">
        <x:f>ROUND(AB30*Parametres_Paie!$B$4,0)</x:f>
        <x:v>0</x:v>
      </x:c>
      <x:c r="AD30" s="64" t="n">
        <x:f>IF(AA30&gt;0,ROUND(N30*Parametres_Paie!$B$12*Parametres_Paie!$B$13,0),0)</x:f>
        <x:v>0</x:v>
      </x:c>
      <x:c r="AE30" s="64" t="n">
        <x:f>IFERROR(INDEX(Parametres_Paie!$G$4:$G$12,MATCH(M30,Parametres_Paie!$F$4:$F$12,0)),0)</x:f>
        <x:v>0</x:v>
      </x:c>
      <x:c r="AF30" s="64" t="n">
        <x:f>ROUND(MAX(0,MAX(MIN(AA30,Parametres_Paie!$K$4)-Parametres_Paie!$J$4,0)*Parametres_Paie!$L$4+MAX(MIN(AA30,Parametres_Paie!$K$5)-Parametres_Paie!$J$5,0)*Parametres_Paie!$L$5+MAX(MIN(AA30,Parametres_Paie!$K$6)-Parametres_Paie!$J$6,0)*Parametres_Paie!$L$6+MAX(MIN(AA30,Parametres_Paie!$K$7)-Parametres_Paie!$J$7,0)*Parametres_Paie!$L$7+MAX(MIN(AA30,Parametres_Paie!$K$8)-Parametres_Paie!$J$8,0)*Parametres_Paie!$L$8+MAX(MIN(AA30,Parametres_Paie!$K$9)-Parametres_Paie!$J$9,0)*Parametres_Paie!$L$9-AE30),0)</x:f>
        <x:v>0</x:v>
      </x:c>
      <x:c r="AG30" s="64" t="n">
        <x:f>AC30+AD30+AF30</x:f>
        <x:v>0</x:v>
      </x:c>
      <x:c r="AH30" s="64" t="n">
        <x:f>ROUND(AB30*Parametres_Paie!$B$5,0)</x:f>
        <x:v>0</x:v>
      </x:c>
      <x:c r="AI30" s="64" t="n">
        <x:f>IF(AA30&gt;0,ROUND(Parametres_Paie!$B$7*Parametres_Paie!$B$8,0),0)</x:f>
        <x:v>0</x:v>
      </x:c>
      <x:c r="AJ30" s="64" t="n">
        <x:f>IF(AA30&gt;0,ROUND(Parametres_Paie!$B$7*T30,0),0)</x:f>
        <x:v>0</x:v>
      </x:c>
      <x:c r="AK30" s="64" t="n">
        <x:f>IF(AA30&gt;0,ROUND(Parametres_Paie!$B$7*Parametres_Paie!$B$9,0),0)</x:f>
        <x:v>0</x:v>
      </x:c>
      <x:c r="AL30" s="64" t="n">
        <x:f>IF(AA30&gt;0,ROUND(O30*Parametres_Paie!$B$12*Parametres_Paie!$B$14,0),0)</x:f>
        <x:v>0</x:v>
      </x:c>
      <x:c r="AM30" s="64" t="n">
        <x:f>ROUND(AA30*Parametres_Paie!$B$15,0)</x:f>
        <x:v>0</x:v>
      </x:c>
      <x:c r="AN30" s="64" t="n">
        <x:f>ROUND(AA30*Parametres_Paie!$B$16,0)</x:f>
        <x:v>0</x:v>
      </x:c>
      <x:c r="AO30" s="64" t="n">
        <x:f>ROUND(AA30*Parametres_Paie!$B$17,0)</x:f>
        <x:v>0</x:v>
      </x:c>
      <x:c r="AP30" s="64" t="n">
        <x:f>ROUND(AA30*Parametres_Paie!$B$18,0)</x:f>
        <x:v>0</x:v>
      </x:c>
      <x:c r="AQ30" s="64" t="n">
        <x:f>AH30+AI30+AJ30+AK30+AL30+AM30+AN30+AO30+AP30</x:f>
        <x:v>0</x:v>
      </x:c>
      <x:c r="AR30" s="64" t="n">
        <x:f>Y30+S30</x:f>
        <x:v>0</x:v>
      </x:c>
      <x:c r="AS30" s="64" t="n">
        <x:f>AA30+AR30</x:f>
        <x:v>0</x:v>
      </x:c>
      <x:c r="AT30" s="64" t="n">
        <x:f>AS30-AG30</x:f>
        <x:v>0</x:v>
      </x:c>
      <x:c r="AU30" s="64" t="n">
        <x:f>AS30+AQ30</x:f>
        <x:v>0</x:v>
      </x:c>
      <x:c r="AV30" s="25" t="str">
        <x:f>IF(H30&lt;&gt;"Actif","Inactif/à vérifier",IF(K30=0,"Profil paie à compléter",IF(J30="","CNPS manquant","OK")))</x:f>
        <x:v>Profil paie à compléter</x:v>
      </x:c>
      <x:c r="AW30" s="25" t="str">
        <x:f>IFERROR(HYPERLINK("#'Bulletins_Impression'!A"&amp;MATCH(A30,Bulletins_Impression!$B:$B,0),"Voir bulletin"),"Voir bulletin")</x:f>
        <x:v>Voir bulletin</x:v>
      </x:c>
    </x:row>
    <x:row r="31">
      <x:c r="A31" s="25" t="str">
        <x:v>0099O</x:v>
      </x:c>
      <x:c r="B31" s="25" t="str">
        <x:v>KOUASSI</x:v>
      </x:c>
      <x:c r="C31" s="25" t="str">
        <x:v>Hemez Ange Aurelien</x:v>
      </x:c>
      <x:c r="D31" s="25" t="str">
        <x:v>Direction des Services aux Membres et des Programmes</x:v>
      </x:c>
      <x:c r="E31" s="25" t="str">
        <x:v>DP</x:v>
      </x:c>
      <x:c r="F31" s="25" t="str">
        <x:v>Chargé de Programme Eau en Milieu Rural</x:v>
      </x:c>
      <x:c r="G31" s="25" t="str">
        <x:v>CDD</x:v>
      </x:c>
      <x:c r="H31" s="25" t="str">
        <x:v>Actif</x:v>
      </x:c>
      <x:c r="I31" s="54" t="n">
        <x:v>45224</x:v>
      </x:c>
      <x:c r="J31" s="25" t="n">
        <x:v>202300133194</x:v>
      </x:c>
      <x:c r="K31" s="64" t="n">
        <x:f>IFERROR(INDEX(Profils_Paie!$B:$B,MATCH($A31,Profils_Paie!$A:$A,0)),0)</x:f>
        <x:v>0</x:v>
      </x:c>
      <x:c r="L31" s="64" t="n">
        <x:f>IFERROR(INDEX(Profils_Paie!$C:$C,MATCH($A31,Profils_Paie!$A:$A,0)),0)</x:f>
        <x:v>0</x:v>
      </x:c>
      <x:c r="M31" s="25" t="n">
        <x:f>IFERROR(INDEX(Profils_Paie!$D:$D,MATCH($A31,Profils_Paie!$A:$A,0)),0)</x:f>
        <x:v>1</x:v>
      </x:c>
      <x:c r="N31" s="25" t="n">
        <x:f>IFERROR(INDEX(Profils_Paie!$E:$E,MATCH($A31,Profils_Paie!$A:$A,0)),0)</x:f>
        <x:v>1</x:v>
      </x:c>
      <x:c r="O31" s="25" t="n">
        <x:f>IFERROR(INDEX(Profils_Paie!$F:$F,MATCH($A31,Profils_Paie!$A:$A,0)),0)</x:f>
        <x:v>1</x:v>
      </x:c>
      <x:c r="P31" s="64" t="n">
        <x:f>IFERROR(INDEX(Profils_Paie!$G:$G,MATCH($A31,Profils_Paie!$A:$A,0)),0)</x:f>
        <x:v>0</x:v>
      </x:c>
      <x:c r="Q31" s="64" t="n">
        <x:f>IFERROR(INDEX(Profils_Paie!$H:$H,MATCH($A31,Profils_Paie!$A:$A,0)),0)</x:f>
        <x:v>0</x:v>
      </x:c>
      <x:c r="R31" s="64" t="n">
        <x:f>IFERROR(INDEX(Profils_Paie!$I:$I,MATCH($A31,Profils_Paie!$A:$A,0)),0)</x:f>
        <x:v>0</x:v>
      </x:c>
      <x:c r="S31" s="64" t="n">
        <x:f>IFERROR(INDEX(Profils_Paie!$J:$J,MATCH($A31,Profils_Paie!$A:$A,0)),0)</x:f>
        <x:v>0</x:v>
      </x:c>
      <x:c r="T31" s="66" t="n">
        <x:f>IFERROR(INDEX(Profils_Paie!$K:$K,MATCH($A31,Profils_Paie!$A:$A,0)),0)</x:f>
        <x:v>0.02</x:v>
      </x:c>
      <x:c r="U31" s="25" t="n">
        <x:f>IFERROR(INT((Parametres_Paie!$B$24-I31)/365.25),0)</x:f>
        <x:v>1</x:v>
      </x:c>
      <x:c r="V31" s="25" t="str">
        <x:f>IF(I31="","",U31&amp;" ans (calcul période)")</x:f>
        <x:v>1 ans (calcul période)</x:v>
      </x:c>
      <x:c r="W31" s="66" t="n">
        <x:f>IF(U31&lt;2,0,MIN(U31,25)/100)</x:f>
        <x:v>0</x:v>
      </x:c>
      <x:c r="X31" s="64" t="n">
        <x:f>ROUND(K31*W31,0)</x:f>
        <x:v>0</x:v>
      </x:c>
      <x:c r="Y31" s="64" t="n">
        <x:f>MIN(P31,Parametres_Paie!$B$11)</x:f>
        <x:v>0</x:v>
      </x:c>
      <x:c r="Z31" s="64" t="n">
        <x:f>MAX(P31-Parametres_Paie!$B$11,0)</x:f>
        <x:v>0</x:v>
      </x:c>
      <x:c r="AA31" s="64" t="n">
        <x:f>ROUND(K31+L31+X31+Q31+R31+Z31,0)</x:f>
        <x:v>0</x:v>
      </x:c>
      <x:c r="AB31" s="64" t="n">
        <x:f>IFERROR(IF(INDEX(Profils_Paie!$L:$L,MATCH($A31,Profils_Paie!$A:$A,0))="",MIN(AA31,Parametres_Paie!$B$6),MIN(INDEX(Profils_Paie!$L:$L,MATCH($A31,Profils_Paie!$A:$A,0)),Parametres_Paie!$B$6)),MIN(AA31,Parametres_Paie!$B$6))</x:f>
        <x:v>0</x:v>
      </x:c>
      <x:c r="AC31" s="64" t="n">
        <x:f>ROUND(AB31*Parametres_Paie!$B$4,0)</x:f>
        <x:v>0</x:v>
      </x:c>
      <x:c r="AD31" s="64" t="n">
        <x:f>IF(AA31&gt;0,ROUND(N31*Parametres_Paie!$B$12*Parametres_Paie!$B$13,0),0)</x:f>
        <x:v>0</x:v>
      </x:c>
      <x:c r="AE31" s="64" t="n">
        <x:f>IFERROR(INDEX(Parametres_Paie!$G$4:$G$12,MATCH(M31,Parametres_Paie!$F$4:$F$12,0)),0)</x:f>
        <x:v>0</x:v>
      </x:c>
      <x:c r="AF31" s="64" t="n">
        <x:f>ROUND(MAX(0,MAX(MIN(AA31,Parametres_Paie!$K$4)-Parametres_Paie!$J$4,0)*Parametres_Paie!$L$4+MAX(MIN(AA31,Parametres_Paie!$K$5)-Parametres_Paie!$J$5,0)*Parametres_Paie!$L$5+MAX(MIN(AA31,Parametres_Paie!$K$6)-Parametres_Paie!$J$6,0)*Parametres_Paie!$L$6+MAX(MIN(AA31,Parametres_Paie!$K$7)-Parametres_Paie!$J$7,0)*Parametres_Paie!$L$7+MAX(MIN(AA31,Parametres_Paie!$K$8)-Parametres_Paie!$J$8,0)*Parametres_Paie!$L$8+MAX(MIN(AA31,Parametres_Paie!$K$9)-Parametres_Paie!$J$9,0)*Parametres_Paie!$L$9-AE31),0)</x:f>
        <x:v>0</x:v>
      </x:c>
      <x:c r="AG31" s="64" t="n">
        <x:f>AC31+AD31+AF31</x:f>
        <x:v>0</x:v>
      </x:c>
      <x:c r="AH31" s="64" t="n">
        <x:f>ROUND(AB31*Parametres_Paie!$B$5,0)</x:f>
        <x:v>0</x:v>
      </x:c>
      <x:c r="AI31" s="64" t="n">
        <x:f>IF(AA31&gt;0,ROUND(Parametres_Paie!$B$7*Parametres_Paie!$B$8,0),0)</x:f>
        <x:v>0</x:v>
      </x:c>
      <x:c r="AJ31" s="64" t="n">
        <x:f>IF(AA31&gt;0,ROUND(Parametres_Paie!$B$7*T31,0),0)</x:f>
        <x:v>0</x:v>
      </x:c>
      <x:c r="AK31" s="64" t="n">
        <x:f>IF(AA31&gt;0,ROUND(Parametres_Paie!$B$7*Parametres_Paie!$B$9,0),0)</x:f>
        <x:v>0</x:v>
      </x:c>
      <x:c r="AL31" s="64" t="n">
        <x:f>IF(AA31&gt;0,ROUND(O31*Parametres_Paie!$B$12*Parametres_Paie!$B$14,0),0)</x:f>
        <x:v>0</x:v>
      </x:c>
      <x:c r="AM31" s="64" t="n">
        <x:f>ROUND(AA31*Parametres_Paie!$B$15,0)</x:f>
        <x:v>0</x:v>
      </x:c>
      <x:c r="AN31" s="64" t="n">
        <x:f>ROUND(AA31*Parametres_Paie!$B$16,0)</x:f>
        <x:v>0</x:v>
      </x:c>
      <x:c r="AO31" s="64" t="n">
        <x:f>ROUND(AA31*Parametres_Paie!$B$17,0)</x:f>
        <x:v>0</x:v>
      </x:c>
      <x:c r="AP31" s="64" t="n">
        <x:f>ROUND(AA31*Parametres_Paie!$B$18,0)</x:f>
        <x:v>0</x:v>
      </x:c>
      <x:c r="AQ31" s="64" t="n">
        <x:f>AH31+AI31+AJ31+AK31+AL31+AM31+AN31+AO31+AP31</x:f>
        <x:v>0</x:v>
      </x:c>
      <x:c r="AR31" s="64" t="n">
        <x:f>Y31+S31</x:f>
        <x:v>0</x:v>
      </x:c>
      <x:c r="AS31" s="64" t="n">
        <x:f>AA31+AR31</x:f>
        <x:v>0</x:v>
      </x:c>
      <x:c r="AT31" s="64" t="n">
        <x:f>AS31-AG31</x:f>
        <x:v>0</x:v>
      </x:c>
      <x:c r="AU31" s="64" t="n">
        <x:f>AS31+AQ31</x:f>
        <x:v>0</x:v>
      </x:c>
      <x:c r="AV31" s="25" t="str">
        <x:f>IF(H31&lt;&gt;"Actif","Inactif/à vérifier",IF(K31=0,"Profil paie à compléter",IF(J31="","CNPS manquant","OK")))</x:f>
        <x:v>Profil paie à compléter</x:v>
      </x:c>
      <x:c r="AW31" s="25" t="str">
        <x:f>IFERROR(HYPERLINK("#'Bulletins_Impression'!A"&amp;MATCH(A31,Bulletins_Impression!$B:$B,0),"Voir bulletin"),"Voir bulletin")</x:f>
        <x:v>Voir bulletin</x:v>
      </x:c>
    </x:row>
    <x:row r="32">
      <x:c r="A32" s="25" t="str">
        <x:v>0104F</x:v>
      </x:c>
      <x:c r="B32" s="25" t="str">
        <x:v>N'DOUA</x:v>
      </x:c>
      <x:c r="C32" s="25" t="str">
        <x:v>Kamenan Jean</x:v>
      </x:c>
      <x:c r="D32" s="25" t="str">
        <x:v>Cabinet de la Direction Exécutive</x:v>
      </x:c>
      <x:c r="E32" s="25" t="str">
        <x:v>Cabinet DEX</x:v>
      </x:c>
      <x:c r="F32" s="25" t="str">
        <x:v>Assistant Communication et Infographie</x:v>
      </x:c>
      <x:c r="G32" s="25" t="str">
        <x:v>CDD</x:v>
      </x:c>
      <x:c r="H32" s="25" t="str">
        <x:v>Actif</x:v>
      </x:c>
      <x:c r="I32" s="54" t="n">
        <x:v>45343</x:v>
      </x:c>
      <x:c r="J32" s="25" t="n">
        <x:v>187011222043</x:v>
      </x:c>
      <x:c r="K32" s="64" t="n">
        <x:f>IFERROR(INDEX(Profils_Paie!$B:$B,MATCH($A32,Profils_Paie!$A:$A,0)),0)</x:f>
        <x:v>0</x:v>
      </x:c>
      <x:c r="L32" s="64" t="n">
        <x:f>IFERROR(INDEX(Profils_Paie!$C:$C,MATCH($A32,Profils_Paie!$A:$A,0)),0)</x:f>
        <x:v>0</x:v>
      </x:c>
      <x:c r="M32" s="25" t="n">
        <x:f>IFERROR(INDEX(Profils_Paie!$D:$D,MATCH($A32,Profils_Paie!$A:$A,0)),0)</x:f>
        <x:v>1</x:v>
      </x:c>
      <x:c r="N32" s="25" t="n">
        <x:f>IFERROR(INDEX(Profils_Paie!$E:$E,MATCH($A32,Profils_Paie!$A:$A,0)),0)</x:f>
        <x:v>1</x:v>
      </x:c>
      <x:c r="O32" s="25" t="n">
        <x:f>IFERROR(INDEX(Profils_Paie!$F:$F,MATCH($A32,Profils_Paie!$A:$A,0)),0)</x:f>
        <x:v>1</x:v>
      </x:c>
      <x:c r="P32" s="64" t="n">
        <x:f>IFERROR(INDEX(Profils_Paie!$G:$G,MATCH($A32,Profils_Paie!$A:$A,0)),0)</x:f>
        <x:v>0</x:v>
      </x:c>
      <x:c r="Q32" s="64" t="n">
        <x:f>IFERROR(INDEX(Profils_Paie!$H:$H,MATCH($A32,Profils_Paie!$A:$A,0)),0)</x:f>
        <x:v>0</x:v>
      </x:c>
      <x:c r="R32" s="64" t="n">
        <x:f>IFERROR(INDEX(Profils_Paie!$I:$I,MATCH($A32,Profils_Paie!$A:$A,0)),0)</x:f>
        <x:v>0</x:v>
      </x:c>
      <x:c r="S32" s="64" t="n">
        <x:f>IFERROR(INDEX(Profils_Paie!$J:$J,MATCH($A32,Profils_Paie!$A:$A,0)),0)</x:f>
        <x:v>0</x:v>
      </x:c>
      <x:c r="T32" s="66" t="n">
        <x:f>IFERROR(INDEX(Profils_Paie!$K:$K,MATCH($A32,Profils_Paie!$A:$A,0)),0)</x:f>
        <x:v>0.02</x:v>
      </x:c>
      <x:c r="U32" s="25" t="n">
        <x:f>IFERROR(INT((Parametres_Paie!$B$24-I32)/365.25),0)</x:f>
        <x:v>0</x:v>
      </x:c>
      <x:c r="V32" s="25" t="str">
        <x:f>IF(I32="","",U32&amp;" ans (calcul période)")</x:f>
        <x:v>0 ans (calcul période)</x:v>
      </x:c>
      <x:c r="W32" s="66" t="n">
        <x:f>IF(U32&lt;2,0,MIN(U32,25)/100)</x:f>
        <x:v>0</x:v>
      </x:c>
      <x:c r="X32" s="64" t="n">
        <x:f>ROUND(K32*W32,0)</x:f>
        <x:v>0</x:v>
      </x:c>
      <x:c r="Y32" s="64" t="n">
        <x:f>MIN(P32,Parametres_Paie!$B$11)</x:f>
        <x:v>0</x:v>
      </x:c>
      <x:c r="Z32" s="64" t="n">
        <x:f>MAX(P32-Parametres_Paie!$B$11,0)</x:f>
        <x:v>0</x:v>
      </x:c>
      <x:c r="AA32" s="64" t="n">
        <x:f>ROUND(K32+L32+X32+Q32+R32+Z32,0)</x:f>
        <x:v>0</x:v>
      </x:c>
      <x:c r="AB32" s="64" t="n">
        <x:f>IFERROR(IF(INDEX(Profils_Paie!$L:$L,MATCH($A32,Profils_Paie!$A:$A,0))="",MIN(AA32,Parametres_Paie!$B$6),MIN(INDEX(Profils_Paie!$L:$L,MATCH($A32,Profils_Paie!$A:$A,0)),Parametres_Paie!$B$6)),MIN(AA32,Parametres_Paie!$B$6))</x:f>
        <x:v>0</x:v>
      </x:c>
      <x:c r="AC32" s="64" t="n">
        <x:f>ROUND(AB32*Parametres_Paie!$B$4,0)</x:f>
        <x:v>0</x:v>
      </x:c>
      <x:c r="AD32" s="64" t="n">
        <x:f>IF(AA32&gt;0,ROUND(N32*Parametres_Paie!$B$12*Parametres_Paie!$B$13,0),0)</x:f>
        <x:v>0</x:v>
      </x:c>
      <x:c r="AE32" s="64" t="n">
        <x:f>IFERROR(INDEX(Parametres_Paie!$G$4:$G$12,MATCH(M32,Parametres_Paie!$F$4:$F$12,0)),0)</x:f>
        <x:v>0</x:v>
      </x:c>
      <x:c r="AF32" s="64" t="n">
        <x:f>ROUND(MAX(0,MAX(MIN(AA32,Parametres_Paie!$K$4)-Parametres_Paie!$J$4,0)*Parametres_Paie!$L$4+MAX(MIN(AA32,Parametres_Paie!$K$5)-Parametres_Paie!$J$5,0)*Parametres_Paie!$L$5+MAX(MIN(AA32,Parametres_Paie!$K$6)-Parametres_Paie!$J$6,0)*Parametres_Paie!$L$6+MAX(MIN(AA32,Parametres_Paie!$K$7)-Parametres_Paie!$J$7,0)*Parametres_Paie!$L$7+MAX(MIN(AA32,Parametres_Paie!$K$8)-Parametres_Paie!$J$8,0)*Parametres_Paie!$L$8+MAX(MIN(AA32,Parametres_Paie!$K$9)-Parametres_Paie!$J$9,0)*Parametres_Paie!$L$9-AE32),0)</x:f>
        <x:v>0</x:v>
      </x:c>
      <x:c r="AG32" s="64" t="n">
        <x:f>AC32+AD32+AF32</x:f>
        <x:v>0</x:v>
      </x:c>
      <x:c r="AH32" s="64" t="n">
        <x:f>ROUND(AB32*Parametres_Paie!$B$5,0)</x:f>
        <x:v>0</x:v>
      </x:c>
      <x:c r="AI32" s="64" t="n">
        <x:f>IF(AA32&gt;0,ROUND(Parametres_Paie!$B$7*Parametres_Paie!$B$8,0),0)</x:f>
        <x:v>0</x:v>
      </x:c>
      <x:c r="AJ32" s="64" t="n">
        <x:f>IF(AA32&gt;0,ROUND(Parametres_Paie!$B$7*T32,0),0)</x:f>
        <x:v>0</x:v>
      </x:c>
      <x:c r="AK32" s="64" t="n">
        <x:f>IF(AA32&gt;0,ROUND(Parametres_Paie!$B$7*Parametres_Paie!$B$9,0),0)</x:f>
        <x:v>0</x:v>
      </x:c>
      <x:c r="AL32" s="64" t="n">
        <x:f>IF(AA32&gt;0,ROUND(O32*Parametres_Paie!$B$12*Parametres_Paie!$B$14,0),0)</x:f>
        <x:v>0</x:v>
      </x:c>
      <x:c r="AM32" s="64" t="n">
        <x:f>ROUND(AA32*Parametres_Paie!$B$15,0)</x:f>
        <x:v>0</x:v>
      </x:c>
      <x:c r="AN32" s="64" t="n">
        <x:f>ROUND(AA32*Parametres_Paie!$B$16,0)</x:f>
        <x:v>0</x:v>
      </x:c>
      <x:c r="AO32" s="64" t="n">
        <x:f>ROUND(AA32*Parametres_Paie!$B$17,0)</x:f>
        <x:v>0</x:v>
      </x:c>
      <x:c r="AP32" s="64" t="n">
        <x:f>ROUND(AA32*Parametres_Paie!$B$18,0)</x:f>
        <x:v>0</x:v>
      </x:c>
      <x:c r="AQ32" s="64" t="n">
        <x:f>AH32+AI32+AJ32+AK32+AL32+AM32+AN32+AO32+AP32</x:f>
        <x:v>0</x:v>
      </x:c>
      <x:c r="AR32" s="64" t="n">
        <x:f>Y32+S32</x:f>
        <x:v>0</x:v>
      </x:c>
      <x:c r="AS32" s="64" t="n">
        <x:f>AA32+AR32</x:f>
        <x:v>0</x:v>
      </x:c>
      <x:c r="AT32" s="64" t="n">
        <x:f>AS32-AG32</x:f>
        <x:v>0</x:v>
      </x:c>
      <x:c r="AU32" s="64" t="n">
        <x:f>AS32+AQ32</x:f>
        <x:v>0</x:v>
      </x:c>
      <x:c r="AV32" s="25" t="str">
        <x:f>IF(H32&lt;&gt;"Actif","Inactif/à vérifier",IF(K32=0,"Profil paie à compléter",IF(J32="","CNPS manquant","OK")))</x:f>
        <x:v>Profil paie à compléter</x:v>
      </x:c>
      <x:c r="AW32" s="25" t="str">
        <x:f>IFERROR(HYPERLINK("#'Bulletins_Impression'!A"&amp;MATCH(A32,Bulletins_Impression!$B:$B,0),"Voir bulletin"),"Voir bulletin")</x:f>
        <x:v>Voir bulletin</x:v>
      </x:c>
    </x:row>
    <x:row r="33">
      <x:c r="A33" s="25" t="str">
        <x:v>0106J</x:v>
      </x:c>
      <x:c r="B33" s="25" t="str">
        <x:v>ELOUNDOU</x:v>
      </x:c>
      <x:c r="C33" s="25" t="str">
        <x:v>Elvis Bertrand</x:v>
      </x:c>
      <x:c r="D33" s="25" t="str">
        <x:v>Direction des Services aux Membres et des Programmes</x:v>
      </x:c>
      <x:c r="E33" s="25" t="str">
        <x:v>DP</x:v>
      </x:c>
      <x:c r="F33" s="25" t="str">
        <x:v>Spécialiste GPC</x:v>
      </x:c>
      <x:c r="G33" s="25" t="str">
        <x:v>CDD</x:v>
      </x:c>
      <x:c r="H33" s="25" t="str">
        <x:v>Licencié</x:v>
      </x:c>
      <x:c r="I33" s="54" t="n">
        <x:v>45453</x:v>
      </x:c>
      <x:c r="J33" s="25" t="n">
        <x:v>202400074775</x:v>
      </x:c>
      <x:c r="K33" s="64" t="n">
        <x:f>IFERROR(INDEX(Profils_Paie!$B:$B,MATCH($A33,Profils_Paie!$A:$A,0)),0)</x:f>
        <x:v>0</x:v>
      </x:c>
      <x:c r="L33" s="64" t="n">
        <x:f>IFERROR(INDEX(Profils_Paie!$C:$C,MATCH($A33,Profils_Paie!$A:$A,0)),0)</x:f>
        <x:v>0</x:v>
      </x:c>
      <x:c r="M33" s="25" t="n">
        <x:f>IFERROR(INDEX(Profils_Paie!$D:$D,MATCH($A33,Profils_Paie!$A:$A,0)),0)</x:f>
        <x:v>1</x:v>
      </x:c>
      <x:c r="N33" s="25" t="n">
        <x:f>IFERROR(INDEX(Profils_Paie!$E:$E,MATCH($A33,Profils_Paie!$A:$A,0)),0)</x:f>
        <x:v>1</x:v>
      </x:c>
      <x:c r="O33" s="25" t="n">
        <x:f>IFERROR(INDEX(Profils_Paie!$F:$F,MATCH($A33,Profils_Paie!$A:$A,0)),0)</x:f>
        <x:v>1</x:v>
      </x:c>
      <x:c r="P33" s="64" t="n">
        <x:f>IFERROR(INDEX(Profils_Paie!$G:$G,MATCH($A33,Profils_Paie!$A:$A,0)),0)</x:f>
        <x:v>0</x:v>
      </x:c>
      <x:c r="Q33" s="64" t="n">
        <x:f>IFERROR(INDEX(Profils_Paie!$H:$H,MATCH($A33,Profils_Paie!$A:$A,0)),0)</x:f>
        <x:v>0</x:v>
      </x:c>
      <x:c r="R33" s="64" t="n">
        <x:f>IFERROR(INDEX(Profils_Paie!$I:$I,MATCH($A33,Profils_Paie!$A:$A,0)),0)</x:f>
        <x:v>0</x:v>
      </x:c>
      <x:c r="S33" s="64" t="n">
        <x:f>IFERROR(INDEX(Profils_Paie!$J:$J,MATCH($A33,Profils_Paie!$A:$A,0)),0)</x:f>
        <x:v>0</x:v>
      </x:c>
      <x:c r="T33" s="66" t="n">
        <x:f>IFERROR(INDEX(Profils_Paie!$K:$K,MATCH($A33,Profils_Paie!$A:$A,0)),0)</x:f>
        <x:v>0.02</x:v>
      </x:c>
      <x:c r="U33" s="25" t="n">
        <x:f>IFERROR(INT((Parametres_Paie!$B$24-I33)/365.25),0)</x:f>
        <x:v>0</x:v>
      </x:c>
      <x:c r="V33" s="25" t="str">
        <x:f>IF(I33="","",U33&amp;" ans (calcul période)")</x:f>
        <x:v>0 ans (calcul période)</x:v>
      </x:c>
      <x:c r="W33" s="66" t="n">
        <x:f>IF(U33&lt;2,0,MIN(U33,25)/100)</x:f>
        <x:v>0</x:v>
      </x:c>
      <x:c r="X33" s="64" t="n">
        <x:f>ROUND(K33*W33,0)</x:f>
        <x:v>0</x:v>
      </x:c>
      <x:c r="Y33" s="64" t="n">
        <x:f>MIN(P33,Parametres_Paie!$B$11)</x:f>
        <x:v>0</x:v>
      </x:c>
      <x:c r="Z33" s="64" t="n">
        <x:f>MAX(P33-Parametres_Paie!$B$11,0)</x:f>
        <x:v>0</x:v>
      </x:c>
      <x:c r="AA33" s="64" t="n">
        <x:f>ROUND(K33+L33+X33+Q33+R33+Z33,0)</x:f>
        <x:v>0</x:v>
      </x:c>
      <x:c r="AB33" s="64" t="n">
        <x:f>IFERROR(IF(INDEX(Profils_Paie!$L:$L,MATCH($A33,Profils_Paie!$A:$A,0))="",MIN(AA33,Parametres_Paie!$B$6),MIN(INDEX(Profils_Paie!$L:$L,MATCH($A33,Profils_Paie!$A:$A,0)),Parametres_Paie!$B$6)),MIN(AA33,Parametres_Paie!$B$6))</x:f>
        <x:v>0</x:v>
      </x:c>
      <x:c r="AC33" s="64" t="n">
        <x:f>ROUND(AB33*Parametres_Paie!$B$4,0)</x:f>
        <x:v>0</x:v>
      </x:c>
      <x:c r="AD33" s="64" t="n">
        <x:f>IF(AA33&gt;0,ROUND(N33*Parametres_Paie!$B$12*Parametres_Paie!$B$13,0),0)</x:f>
        <x:v>0</x:v>
      </x:c>
      <x:c r="AE33" s="64" t="n">
        <x:f>IFERROR(INDEX(Parametres_Paie!$G$4:$G$12,MATCH(M33,Parametres_Paie!$F$4:$F$12,0)),0)</x:f>
        <x:v>0</x:v>
      </x:c>
      <x:c r="AF33" s="64" t="n">
        <x:f>ROUND(MAX(0,MAX(MIN(AA33,Parametres_Paie!$K$4)-Parametres_Paie!$J$4,0)*Parametres_Paie!$L$4+MAX(MIN(AA33,Parametres_Paie!$K$5)-Parametres_Paie!$J$5,0)*Parametres_Paie!$L$5+MAX(MIN(AA33,Parametres_Paie!$K$6)-Parametres_Paie!$J$6,0)*Parametres_Paie!$L$6+MAX(MIN(AA33,Parametres_Paie!$K$7)-Parametres_Paie!$J$7,0)*Parametres_Paie!$L$7+MAX(MIN(AA33,Parametres_Paie!$K$8)-Parametres_Paie!$J$8,0)*Parametres_Paie!$L$8+MAX(MIN(AA33,Parametres_Paie!$K$9)-Parametres_Paie!$J$9,0)*Parametres_Paie!$L$9-AE33),0)</x:f>
        <x:v>0</x:v>
      </x:c>
      <x:c r="AG33" s="64" t="n">
        <x:f>AC33+AD33+AF33</x:f>
        <x:v>0</x:v>
      </x:c>
      <x:c r="AH33" s="64" t="n">
        <x:f>ROUND(AB33*Parametres_Paie!$B$5,0)</x:f>
        <x:v>0</x:v>
      </x:c>
      <x:c r="AI33" s="64" t="n">
        <x:f>IF(AA33&gt;0,ROUND(Parametres_Paie!$B$7*Parametres_Paie!$B$8,0),0)</x:f>
        <x:v>0</x:v>
      </x:c>
      <x:c r="AJ33" s="64" t="n">
        <x:f>IF(AA33&gt;0,ROUND(Parametres_Paie!$B$7*T33,0),0)</x:f>
        <x:v>0</x:v>
      </x:c>
      <x:c r="AK33" s="64" t="n">
        <x:f>IF(AA33&gt;0,ROUND(Parametres_Paie!$B$7*Parametres_Paie!$B$9,0),0)</x:f>
        <x:v>0</x:v>
      </x:c>
      <x:c r="AL33" s="64" t="n">
        <x:f>IF(AA33&gt;0,ROUND(O33*Parametres_Paie!$B$12*Parametres_Paie!$B$14,0),0)</x:f>
        <x:v>0</x:v>
      </x:c>
      <x:c r="AM33" s="64" t="n">
        <x:f>ROUND(AA33*Parametres_Paie!$B$15,0)</x:f>
        <x:v>0</x:v>
      </x:c>
      <x:c r="AN33" s="64" t="n">
        <x:f>ROUND(AA33*Parametres_Paie!$B$16,0)</x:f>
        <x:v>0</x:v>
      </x:c>
      <x:c r="AO33" s="64" t="n">
        <x:f>ROUND(AA33*Parametres_Paie!$B$17,0)</x:f>
        <x:v>0</x:v>
      </x:c>
      <x:c r="AP33" s="64" t="n">
        <x:f>ROUND(AA33*Parametres_Paie!$B$18,0)</x:f>
        <x:v>0</x:v>
      </x:c>
      <x:c r="AQ33" s="64" t="n">
        <x:f>AH33+AI33+AJ33+AK33+AL33+AM33+AN33+AO33+AP33</x:f>
        <x:v>0</x:v>
      </x:c>
      <x:c r="AR33" s="64" t="n">
        <x:f>Y33+S33</x:f>
        <x:v>0</x:v>
      </x:c>
      <x:c r="AS33" s="64" t="n">
        <x:f>AA33+AR33</x:f>
        <x:v>0</x:v>
      </x:c>
      <x:c r="AT33" s="64" t="n">
        <x:f>AS33-AG33</x:f>
        <x:v>0</x:v>
      </x:c>
      <x:c r="AU33" s="64" t="n">
        <x:f>AS33+AQ33</x:f>
        <x:v>0</x:v>
      </x:c>
      <x:c r="AV33" s="25" t="str">
        <x:f>IF(H33&lt;&gt;"Actif","Inactif/à vérifier",IF(K33=0,"Profil paie à compléter",IF(J33="","CNPS manquant","OK")))</x:f>
        <x:v>Inactif/à vérifier</x:v>
      </x:c>
      <x:c r="AW33" s="25" t="str">
        <x:f>IFERROR(HYPERLINK("#'Bulletins_Impression'!A"&amp;MATCH(A33,Bulletins_Impression!$B:$B,0),"Voir bulletin"),"Voir bulletin")</x:f>
        <x:v>Voir bulletin</x:v>
      </x:c>
    </x:row>
    <x:row r="34">
      <x:c r="A34" s="25" t="str">
        <x:v>0107J</x:v>
      </x:c>
      <x:c r="B34" s="25" t="str">
        <x:v>BAWA</x:v>
      </x:c>
      <x:c r="C34" s="25" t="str">
        <x:v>Kitchnime Gotau</x:v>
      </x:c>
      <x:c r="D34" s="25" t="str">
        <x:v>Direction des Services aux Membres et des Programmes</x:v>
      </x:c>
      <x:c r="E34" s="25" t="str">
        <x:v>DP</x:v>
      </x:c>
      <x:c r="F34" s="25" t="str">
        <x:v>Coordonnateur Programme PASAOS</x:v>
      </x:c>
      <x:c r="G34" s="25" t="str">
        <x:v>CDD</x:v>
      </x:c>
      <x:c r="H34" s="25" t="str">
        <x:v>Actif</x:v>
      </x:c>
      <x:c r="I34" s="54" t="n">
        <x:v>45460</x:v>
      </x:c>
      <x:c r="J34" s="25" t="n">
        <x:v>202400072233</x:v>
      </x:c>
      <x:c r="K34" s="64" t="n">
        <x:f>IFERROR(INDEX(Profils_Paie!$B:$B,MATCH($A34,Profils_Paie!$A:$A,0)),0)</x:f>
        <x:v>0</x:v>
      </x:c>
      <x:c r="L34" s="64" t="n">
        <x:f>IFERROR(INDEX(Profils_Paie!$C:$C,MATCH($A34,Profils_Paie!$A:$A,0)),0)</x:f>
        <x:v>0</x:v>
      </x:c>
      <x:c r="M34" s="25" t="n">
        <x:f>IFERROR(INDEX(Profils_Paie!$D:$D,MATCH($A34,Profils_Paie!$A:$A,0)),0)</x:f>
        <x:v>1</x:v>
      </x:c>
      <x:c r="N34" s="25" t="n">
        <x:f>IFERROR(INDEX(Profils_Paie!$E:$E,MATCH($A34,Profils_Paie!$A:$A,0)),0)</x:f>
        <x:v>1</x:v>
      </x:c>
      <x:c r="O34" s="25" t="n">
        <x:f>IFERROR(INDEX(Profils_Paie!$F:$F,MATCH($A34,Profils_Paie!$A:$A,0)),0)</x:f>
        <x:v>1</x:v>
      </x:c>
      <x:c r="P34" s="64" t="n">
        <x:f>IFERROR(INDEX(Profils_Paie!$G:$G,MATCH($A34,Profils_Paie!$A:$A,0)),0)</x:f>
        <x:v>0</x:v>
      </x:c>
      <x:c r="Q34" s="64" t="n">
        <x:f>IFERROR(INDEX(Profils_Paie!$H:$H,MATCH($A34,Profils_Paie!$A:$A,0)),0)</x:f>
        <x:v>0</x:v>
      </x:c>
      <x:c r="R34" s="64" t="n">
        <x:f>IFERROR(INDEX(Profils_Paie!$I:$I,MATCH($A34,Profils_Paie!$A:$A,0)),0)</x:f>
        <x:v>0</x:v>
      </x:c>
      <x:c r="S34" s="64" t="n">
        <x:f>IFERROR(INDEX(Profils_Paie!$J:$J,MATCH($A34,Profils_Paie!$A:$A,0)),0)</x:f>
        <x:v>0</x:v>
      </x:c>
      <x:c r="T34" s="66" t="n">
        <x:f>IFERROR(INDEX(Profils_Paie!$K:$K,MATCH($A34,Profils_Paie!$A:$A,0)),0)</x:f>
        <x:v>0.02</x:v>
      </x:c>
      <x:c r="U34" s="25" t="n">
        <x:f>IFERROR(INT((Parametres_Paie!$B$24-I34)/365.25),0)</x:f>
        <x:v>0</x:v>
      </x:c>
      <x:c r="V34" s="25" t="str">
        <x:f>IF(I34="","",U34&amp;" ans (calcul période)")</x:f>
        <x:v>0 ans (calcul période)</x:v>
      </x:c>
      <x:c r="W34" s="66" t="n">
        <x:f>IF(U34&lt;2,0,MIN(U34,25)/100)</x:f>
        <x:v>0</x:v>
      </x:c>
      <x:c r="X34" s="64" t="n">
        <x:f>ROUND(K34*W34,0)</x:f>
        <x:v>0</x:v>
      </x:c>
      <x:c r="Y34" s="64" t="n">
        <x:f>MIN(P34,Parametres_Paie!$B$11)</x:f>
        <x:v>0</x:v>
      </x:c>
      <x:c r="Z34" s="64" t="n">
        <x:f>MAX(P34-Parametres_Paie!$B$11,0)</x:f>
        <x:v>0</x:v>
      </x:c>
      <x:c r="AA34" s="64" t="n">
        <x:f>ROUND(K34+L34+X34+Q34+R34+Z34,0)</x:f>
        <x:v>0</x:v>
      </x:c>
      <x:c r="AB34" s="64" t="n">
        <x:f>IFERROR(IF(INDEX(Profils_Paie!$L:$L,MATCH($A34,Profils_Paie!$A:$A,0))="",MIN(AA34,Parametres_Paie!$B$6),MIN(INDEX(Profils_Paie!$L:$L,MATCH($A34,Profils_Paie!$A:$A,0)),Parametres_Paie!$B$6)),MIN(AA34,Parametres_Paie!$B$6))</x:f>
        <x:v>0</x:v>
      </x:c>
      <x:c r="AC34" s="64" t="n">
        <x:f>ROUND(AB34*Parametres_Paie!$B$4,0)</x:f>
        <x:v>0</x:v>
      </x:c>
      <x:c r="AD34" s="64" t="n">
        <x:f>IF(AA34&gt;0,ROUND(N34*Parametres_Paie!$B$12*Parametres_Paie!$B$13,0),0)</x:f>
        <x:v>0</x:v>
      </x:c>
      <x:c r="AE34" s="64" t="n">
        <x:f>IFERROR(INDEX(Parametres_Paie!$G$4:$G$12,MATCH(M34,Parametres_Paie!$F$4:$F$12,0)),0)</x:f>
        <x:v>0</x:v>
      </x:c>
      <x:c r="AF34" s="64" t="n">
        <x:f>ROUND(MAX(0,MAX(MIN(AA34,Parametres_Paie!$K$4)-Parametres_Paie!$J$4,0)*Parametres_Paie!$L$4+MAX(MIN(AA34,Parametres_Paie!$K$5)-Parametres_Paie!$J$5,0)*Parametres_Paie!$L$5+MAX(MIN(AA34,Parametres_Paie!$K$6)-Parametres_Paie!$J$6,0)*Parametres_Paie!$L$6+MAX(MIN(AA34,Parametres_Paie!$K$7)-Parametres_Paie!$J$7,0)*Parametres_Paie!$L$7+MAX(MIN(AA34,Parametres_Paie!$K$8)-Parametres_Paie!$J$8,0)*Parametres_Paie!$L$8+MAX(MIN(AA34,Parametres_Paie!$K$9)-Parametres_Paie!$J$9,0)*Parametres_Paie!$L$9-AE34),0)</x:f>
        <x:v>0</x:v>
      </x:c>
      <x:c r="AG34" s="64" t="n">
        <x:f>AC34+AD34+AF34</x:f>
        <x:v>0</x:v>
      </x:c>
      <x:c r="AH34" s="64" t="n">
        <x:f>ROUND(AB34*Parametres_Paie!$B$5,0)</x:f>
        <x:v>0</x:v>
      </x:c>
      <x:c r="AI34" s="64" t="n">
        <x:f>IF(AA34&gt;0,ROUND(Parametres_Paie!$B$7*Parametres_Paie!$B$8,0),0)</x:f>
        <x:v>0</x:v>
      </x:c>
      <x:c r="AJ34" s="64" t="n">
        <x:f>IF(AA34&gt;0,ROUND(Parametres_Paie!$B$7*T34,0),0)</x:f>
        <x:v>0</x:v>
      </x:c>
      <x:c r="AK34" s="64" t="n">
        <x:f>IF(AA34&gt;0,ROUND(Parametres_Paie!$B$7*Parametres_Paie!$B$9,0),0)</x:f>
        <x:v>0</x:v>
      </x:c>
      <x:c r="AL34" s="64" t="n">
        <x:f>IF(AA34&gt;0,ROUND(O34*Parametres_Paie!$B$12*Parametres_Paie!$B$14,0),0)</x:f>
        <x:v>0</x:v>
      </x:c>
      <x:c r="AM34" s="64" t="n">
        <x:f>ROUND(AA34*Parametres_Paie!$B$15,0)</x:f>
        <x:v>0</x:v>
      </x:c>
      <x:c r="AN34" s="64" t="n">
        <x:f>ROUND(AA34*Parametres_Paie!$B$16,0)</x:f>
        <x:v>0</x:v>
      </x:c>
      <x:c r="AO34" s="64" t="n">
        <x:f>ROUND(AA34*Parametres_Paie!$B$17,0)</x:f>
        <x:v>0</x:v>
      </x:c>
      <x:c r="AP34" s="64" t="n">
        <x:f>ROUND(AA34*Parametres_Paie!$B$18,0)</x:f>
        <x:v>0</x:v>
      </x:c>
      <x:c r="AQ34" s="64" t="n">
        <x:f>AH34+AI34+AJ34+AK34+AL34+AM34+AN34+AO34+AP34</x:f>
        <x:v>0</x:v>
      </x:c>
      <x:c r="AR34" s="64" t="n">
        <x:f>Y34+S34</x:f>
        <x:v>0</x:v>
      </x:c>
      <x:c r="AS34" s="64" t="n">
        <x:f>AA34+AR34</x:f>
        <x:v>0</x:v>
      </x:c>
      <x:c r="AT34" s="64" t="n">
        <x:f>AS34-AG34</x:f>
        <x:v>0</x:v>
      </x:c>
      <x:c r="AU34" s="64" t="n">
        <x:f>AS34+AQ34</x:f>
        <x:v>0</x:v>
      </x:c>
      <x:c r="AV34" s="25" t="str">
        <x:f>IF(H34&lt;&gt;"Actif","Inactif/à vérifier",IF(K34=0,"Profil paie à compléter",IF(J34="","CNPS manquant","OK")))</x:f>
        <x:v>Profil paie à compléter</x:v>
      </x:c>
      <x:c r="AW34" s="25" t="str">
        <x:f>IFERROR(HYPERLINK("#'Bulletins_Impression'!A"&amp;MATCH(A34,Bulletins_Impression!$B:$B,0),"Voir bulletin"),"Voir bulletin")</x:f>
        <x:v>Voir bulletin</x:v>
      </x:c>
    </x:row>
    <x:row r="35">
      <x:c r="A35" s="25" t="str">
        <x:v>0108J</x:v>
      </x:c>
      <x:c r="B35" s="25" t="str">
        <x:v>KOUAKOU</x:v>
      </x:c>
      <x:c r="C35" s="25" t="str">
        <x:v>Theodora Hamoin Anna Henriette</x:v>
      </x:c>
      <x:c r="D35" s="25" t="str">
        <x:v>Direction Administrative et Financière</x:v>
      </x:c>
      <x:c r="E35" s="25" t="str">
        <x:v>DAF</x:v>
      </x:c>
      <x:c r="F35" s="25" t="str">
        <x:v>Assistante Comptable PASAOS</x:v>
      </x:c>
      <x:c r="G35" s="25" t="str">
        <x:v>CDD</x:v>
      </x:c>
      <x:c r="H35" s="25" t="str">
        <x:v>Actif</x:v>
      </x:c>
      <x:c r="I35" s="54" t="n">
        <x:v>45323</x:v>
      </x:c>
      <x:c r="J35" s="25" t="n">
        <x:v>202400033589</x:v>
      </x:c>
      <x:c r="K35" s="64" t="n">
        <x:f>IFERROR(INDEX(Profils_Paie!$B:$B,MATCH($A35,Profils_Paie!$A:$A,0)),0)</x:f>
        <x:v>0</x:v>
      </x:c>
      <x:c r="L35" s="64" t="n">
        <x:f>IFERROR(INDEX(Profils_Paie!$C:$C,MATCH($A35,Profils_Paie!$A:$A,0)),0)</x:f>
        <x:v>0</x:v>
      </x:c>
      <x:c r="M35" s="25" t="n">
        <x:f>IFERROR(INDEX(Profils_Paie!$D:$D,MATCH($A35,Profils_Paie!$A:$A,0)),0)</x:f>
        <x:v>1</x:v>
      </x:c>
      <x:c r="N35" s="25" t="n">
        <x:f>IFERROR(INDEX(Profils_Paie!$E:$E,MATCH($A35,Profils_Paie!$A:$A,0)),0)</x:f>
        <x:v>1</x:v>
      </x:c>
      <x:c r="O35" s="25" t="n">
        <x:f>IFERROR(INDEX(Profils_Paie!$F:$F,MATCH($A35,Profils_Paie!$A:$A,0)),0)</x:f>
        <x:v>1</x:v>
      </x:c>
      <x:c r="P35" s="64" t="n">
        <x:f>IFERROR(INDEX(Profils_Paie!$G:$G,MATCH($A35,Profils_Paie!$A:$A,0)),0)</x:f>
        <x:v>0</x:v>
      </x:c>
      <x:c r="Q35" s="64" t="n">
        <x:f>IFERROR(INDEX(Profils_Paie!$H:$H,MATCH($A35,Profils_Paie!$A:$A,0)),0)</x:f>
        <x:v>0</x:v>
      </x:c>
      <x:c r="R35" s="64" t="n">
        <x:f>IFERROR(INDEX(Profils_Paie!$I:$I,MATCH($A35,Profils_Paie!$A:$A,0)),0)</x:f>
        <x:v>0</x:v>
      </x:c>
      <x:c r="S35" s="64" t="n">
        <x:f>IFERROR(INDEX(Profils_Paie!$J:$J,MATCH($A35,Profils_Paie!$A:$A,0)),0)</x:f>
        <x:v>0</x:v>
      </x:c>
      <x:c r="T35" s="66" t="n">
        <x:f>IFERROR(INDEX(Profils_Paie!$K:$K,MATCH($A35,Profils_Paie!$A:$A,0)),0)</x:f>
        <x:v>0.02</x:v>
      </x:c>
      <x:c r="U35" s="25" t="n">
        <x:f>IFERROR(INT((Parametres_Paie!$B$24-I35)/365.25),0)</x:f>
        <x:v>0</x:v>
      </x:c>
      <x:c r="V35" s="25" t="str">
        <x:f>IF(I35="","",U35&amp;" ans (calcul période)")</x:f>
        <x:v>0 ans (calcul période)</x:v>
      </x:c>
      <x:c r="W35" s="66" t="n">
        <x:f>IF(U35&lt;2,0,MIN(U35,25)/100)</x:f>
        <x:v>0</x:v>
      </x:c>
      <x:c r="X35" s="64" t="n">
        <x:f>ROUND(K35*W35,0)</x:f>
        <x:v>0</x:v>
      </x:c>
      <x:c r="Y35" s="64" t="n">
        <x:f>MIN(P35,Parametres_Paie!$B$11)</x:f>
        <x:v>0</x:v>
      </x:c>
      <x:c r="Z35" s="64" t="n">
        <x:f>MAX(P35-Parametres_Paie!$B$11,0)</x:f>
        <x:v>0</x:v>
      </x:c>
      <x:c r="AA35" s="64" t="n">
        <x:f>ROUND(K35+L35+X35+Q35+R35+Z35,0)</x:f>
        <x:v>0</x:v>
      </x:c>
      <x:c r="AB35" s="64" t="n">
        <x:f>IFERROR(IF(INDEX(Profils_Paie!$L:$L,MATCH($A35,Profils_Paie!$A:$A,0))="",MIN(AA35,Parametres_Paie!$B$6),MIN(INDEX(Profils_Paie!$L:$L,MATCH($A35,Profils_Paie!$A:$A,0)),Parametres_Paie!$B$6)),MIN(AA35,Parametres_Paie!$B$6))</x:f>
        <x:v>0</x:v>
      </x:c>
      <x:c r="AC35" s="64" t="n">
        <x:f>ROUND(AB35*Parametres_Paie!$B$4,0)</x:f>
        <x:v>0</x:v>
      </x:c>
      <x:c r="AD35" s="64" t="n">
        <x:f>IF(AA35&gt;0,ROUND(N35*Parametres_Paie!$B$12*Parametres_Paie!$B$13,0),0)</x:f>
        <x:v>0</x:v>
      </x:c>
      <x:c r="AE35" s="64" t="n">
        <x:f>IFERROR(INDEX(Parametres_Paie!$G$4:$G$12,MATCH(M35,Parametres_Paie!$F$4:$F$12,0)),0)</x:f>
        <x:v>0</x:v>
      </x:c>
      <x:c r="AF35" s="64" t="n">
        <x:f>ROUND(MAX(0,MAX(MIN(AA35,Parametres_Paie!$K$4)-Parametres_Paie!$J$4,0)*Parametres_Paie!$L$4+MAX(MIN(AA35,Parametres_Paie!$K$5)-Parametres_Paie!$J$5,0)*Parametres_Paie!$L$5+MAX(MIN(AA35,Parametres_Paie!$K$6)-Parametres_Paie!$J$6,0)*Parametres_Paie!$L$6+MAX(MIN(AA35,Parametres_Paie!$K$7)-Parametres_Paie!$J$7,0)*Parametres_Paie!$L$7+MAX(MIN(AA35,Parametres_Paie!$K$8)-Parametres_Paie!$J$8,0)*Parametres_Paie!$L$8+MAX(MIN(AA35,Parametres_Paie!$K$9)-Parametres_Paie!$J$9,0)*Parametres_Paie!$L$9-AE35),0)</x:f>
        <x:v>0</x:v>
      </x:c>
      <x:c r="AG35" s="64" t="n">
        <x:f>AC35+AD35+AF35</x:f>
        <x:v>0</x:v>
      </x:c>
      <x:c r="AH35" s="64" t="n">
        <x:f>ROUND(AB35*Parametres_Paie!$B$5,0)</x:f>
        <x:v>0</x:v>
      </x:c>
      <x:c r="AI35" s="64" t="n">
        <x:f>IF(AA35&gt;0,ROUND(Parametres_Paie!$B$7*Parametres_Paie!$B$8,0),0)</x:f>
        <x:v>0</x:v>
      </x:c>
      <x:c r="AJ35" s="64" t="n">
        <x:f>IF(AA35&gt;0,ROUND(Parametres_Paie!$B$7*T35,0),0)</x:f>
        <x:v>0</x:v>
      </x:c>
      <x:c r="AK35" s="64" t="n">
        <x:f>IF(AA35&gt;0,ROUND(Parametres_Paie!$B$7*Parametres_Paie!$B$9,0),0)</x:f>
        <x:v>0</x:v>
      </x:c>
      <x:c r="AL35" s="64" t="n">
        <x:f>IF(AA35&gt;0,ROUND(O35*Parametres_Paie!$B$12*Parametres_Paie!$B$14,0),0)</x:f>
        <x:v>0</x:v>
      </x:c>
      <x:c r="AM35" s="64" t="n">
        <x:f>ROUND(AA35*Parametres_Paie!$B$15,0)</x:f>
        <x:v>0</x:v>
      </x:c>
      <x:c r="AN35" s="64" t="n">
        <x:f>ROUND(AA35*Parametres_Paie!$B$16,0)</x:f>
        <x:v>0</x:v>
      </x:c>
      <x:c r="AO35" s="64" t="n">
        <x:f>ROUND(AA35*Parametres_Paie!$B$17,0)</x:f>
        <x:v>0</x:v>
      </x:c>
      <x:c r="AP35" s="64" t="n">
        <x:f>ROUND(AA35*Parametres_Paie!$B$18,0)</x:f>
        <x:v>0</x:v>
      </x:c>
      <x:c r="AQ35" s="64" t="n">
        <x:f>AH35+AI35+AJ35+AK35+AL35+AM35+AN35+AO35+AP35</x:f>
        <x:v>0</x:v>
      </x:c>
      <x:c r="AR35" s="64" t="n">
        <x:f>Y35+S35</x:f>
        <x:v>0</x:v>
      </x:c>
      <x:c r="AS35" s="64" t="n">
        <x:f>AA35+AR35</x:f>
        <x:v>0</x:v>
      </x:c>
      <x:c r="AT35" s="64" t="n">
        <x:f>AS35-AG35</x:f>
        <x:v>0</x:v>
      </x:c>
      <x:c r="AU35" s="64" t="n">
        <x:f>AS35+AQ35</x:f>
        <x:v>0</x:v>
      </x:c>
      <x:c r="AV35" s="25" t="str">
        <x:f>IF(H35&lt;&gt;"Actif","Inactif/à vérifier",IF(K35=0,"Profil paie à compléter",IF(J35="","CNPS manquant","OK")))</x:f>
        <x:v>Profil paie à compléter</x:v>
      </x:c>
      <x:c r="AW35" s="25" t="str">
        <x:f>IFERROR(HYPERLINK("#'Bulletins_Impression'!A"&amp;MATCH(A35,Bulletins_Impression!$B:$B,0),"Voir bulletin"),"Voir bulletin")</x:f>
        <x:v>Voir bulletin</x:v>
      </x:c>
    </x:row>
    <x:row r="36">
      <x:c r="A36" s="25" t="str">
        <x:v>0111A</x:v>
      </x:c>
      <x:c r="B36" s="25" t="str">
        <x:v>GOSSO</x:v>
      </x:c>
      <x:c r="C36" s="25" t="str">
        <x:v>François Olivier</x:v>
      </x:c>
      <x:c r="D36" s="25" t="str">
        <x:v>Cabinet de la Direction Exécutive</x:v>
      </x:c>
      <x:c r="E36" s="25" t="str">
        <x:v>Cabinet DEX</x:v>
      </x:c>
      <x:c r="F36" s="25" t="str">
        <x:v>Directeur Exécutif</x:v>
      </x:c>
      <x:c r="G36" s="25" t="str">
        <x:v>CDI</x:v>
      </x:c>
      <x:c r="H36" s="25" t="str">
        <x:v>Actif</x:v>
      </x:c>
      <x:c r="I36" s="54" t="n">
        <x:v>45292</x:v>
      </x:c>
      <x:c r="J36" s="25" t="n">
        <x:v>167019216419</x:v>
      </x:c>
      <x:c r="K36" s="64" t="n">
        <x:f>IFERROR(INDEX(Profils_Paie!$B:$B,MATCH($A36,Profils_Paie!$A:$A,0)),0)</x:f>
        <x:v>0</x:v>
      </x:c>
      <x:c r="L36" s="64" t="n">
        <x:f>IFERROR(INDEX(Profils_Paie!$C:$C,MATCH($A36,Profils_Paie!$A:$A,0)),0)</x:f>
        <x:v>0</x:v>
      </x:c>
      <x:c r="M36" s="25" t="n">
        <x:f>IFERROR(INDEX(Profils_Paie!$D:$D,MATCH($A36,Profils_Paie!$A:$A,0)),0)</x:f>
        <x:v>1</x:v>
      </x:c>
      <x:c r="N36" s="25" t="n">
        <x:f>IFERROR(INDEX(Profils_Paie!$E:$E,MATCH($A36,Profils_Paie!$A:$A,0)),0)</x:f>
        <x:v>1</x:v>
      </x:c>
      <x:c r="O36" s="25" t="n">
        <x:f>IFERROR(INDEX(Profils_Paie!$F:$F,MATCH($A36,Profils_Paie!$A:$A,0)),0)</x:f>
        <x:v>1</x:v>
      </x:c>
      <x:c r="P36" s="64" t="n">
        <x:f>IFERROR(INDEX(Profils_Paie!$G:$G,MATCH($A36,Profils_Paie!$A:$A,0)),0)</x:f>
        <x:v>0</x:v>
      </x:c>
      <x:c r="Q36" s="64" t="n">
        <x:f>IFERROR(INDEX(Profils_Paie!$H:$H,MATCH($A36,Profils_Paie!$A:$A,0)),0)</x:f>
        <x:v>0</x:v>
      </x:c>
      <x:c r="R36" s="64" t="n">
        <x:f>IFERROR(INDEX(Profils_Paie!$I:$I,MATCH($A36,Profils_Paie!$A:$A,0)),0)</x:f>
        <x:v>0</x:v>
      </x:c>
      <x:c r="S36" s="64" t="n">
        <x:f>IFERROR(INDEX(Profils_Paie!$J:$J,MATCH($A36,Profils_Paie!$A:$A,0)),0)</x:f>
        <x:v>0</x:v>
      </x:c>
      <x:c r="T36" s="66" t="n">
        <x:f>IFERROR(INDEX(Profils_Paie!$K:$K,MATCH($A36,Profils_Paie!$A:$A,0)),0)</x:f>
        <x:v>0.02</x:v>
      </x:c>
      <x:c r="U36" s="25" t="n">
        <x:f>IFERROR(INT((Parametres_Paie!$B$24-I36)/365.25),0)</x:f>
        <x:v>1</x:v>
      </x:c>
      <x:c r="V36" s="25" t="str">
        <x:f>IF(I36="","",U36&amp;" ans (calcul période)")</x:f>
        <x:v>1 ans (calcul période)</x:v>
      </x:c>
      <x:c r="W36" s="66" t="n">
        <x:f>IF(U36&lt;2,0,MIN(U36,25)/100)</x:f>
        <x:v>0</x:v>
      </x:c>
      <x:c r="X36" s="64" t="n">
        <x:f>ROUND(K36*W36,0)</x:f>
        <x:v>0</x:v>
      </x:c>
      <x:c r="Y36" s="64" t="n">
        <x:f>MIN(P36,Parametres_Paie!$B$11)</x:f>
        <x:v>0</x:v>
      </x:c>
      <x:c r="Z36" s="64" t="n">
        <x:f>MAX(P36-Parametres_Paie!$B$11,0)</x:f>
        <x:v>0</x:v>
      </x:c>
      <x:c r="AA36" s="64" t="n">
        <x:f>ROUND(K36+L36+X36+Q36+R36+Z36,0)</x:f>
        <x:v>0</x:v>
      </x:c>
      <x:c r="AB36" s="64" t="n">
        <x:f>IFERROR(IF(INDEX(Profils_Paie!$L:$L,MATCH($A36,Profils_Paie!$A:$A,0))="",MIN(AA36,Parametres_Paie!$B$6),MIN(INDEX(Profils_Paie!$L:$L,MATCH($A36,Profils_Paie!$A:$A,0)),Parametres_Paie!$B$6)),MIN(AA36,Parametres_Paie!$B$6))</x:f>
        <x:v>0</x:v>
      </x:c>
      <x:c r="AC36" s="64" t="n">
        <x:f>ROUND(AB36*Parametres_Paie!$B$4,0)</x:f>
        <x:v>0</x:v>
      </x:c>
      <x:c r="AD36" s="64" t="n">
        <x:f>IF(AA36&gt;0,ROUND(N36*Parametres_Paie!$B$12*Parametres_Paie!$B$13,0),0)</x:f>
        <x:v>0</x:v>
      </x:c>
      <x:c r="AE36" s="64" t="n">
        <x:f>IFERROR(INDEX(Parametres_Paie!$G$4:$G$12,MATCH(M36,Parametres_Paie!$F$4:$F$12,0)),0)</x:f>
        <x:v>0</x:v>
      </x:c>
      <x:c r="AF36" s="64" t="n">
        <x:f>ROUND(MAX(0,MAX(MIN(AA36,Parametres_Paie!$K$4)-Parametres_Paie!$J$4,0)*Parametres_Paie!$L$4+MAX(MIN(AA36,Parametres_Paie!$K$5)-Parametres_Paie!$J$5,0)*Parametres_Paie!$L$5+MAX(MIN(AA36,Parametres_Paie!$K$6)-Parametres_Paie!$J$6,0)*Parametres_Paie!$L$6+MAX(MIN(AA36,Parametres_Paie!$K$7)-Parametres_Paie!$J$7,0)*Parametres_Paie!$L$7+MAX(MIN(AA36,Parametres_Paie!$K$8)-Parametres_Paie!$J$8,0)*Parametres_Paie!$L$8+MAX(MIN(AA36,Parametres_Paie!$K$9)-Parametres_Paie!$J$9,0)*Parametres_Paie!$L$9-AE36),0)</x:f>
        <x:v>0</x:v>
      </x:c>
      <x:c r="AG36" s="64" t="n">
        <x:f>AC36+AD36+AF36</x:f>
        <x:v>0</x:v>
      </x:c>
      <x:c r="AH36" s="64" t="n">
        <x:f>ROUND(AB36*Parametres_Paie!$B$5,0)</x:f>
        <x:v>0</x:v>
      </x:c>
      <x:c r="AI36" s="64" t="n">
        <x:f>IF(AA36&gt;0,ROUND(Parametres_Paie!$B$7*Parametres_Paie!$B$8,0),0)</x:f>
        <x:v>0</x:v>
      </x:c>
      <x:c r="AJ36" s="64" t="n">
        <x:f>IF(AA36&gt;0,ROUND(Parametres_Paie!$B$7*T36,0),0)</x:f>
        <x:v>0</x:v>
      </x:c>
      <x:c r="AK36" s="64" t="n">
        <x:f>IF(AA36&gt;0,ROUND(Parametres_Paie!$B$7*Parametres_Paie!$B$9,0),0)</x:f>
        <x:v>0</x:v>
      </x:c>
      <x:c r="AL36" s="64" t="n">
        <x:f>IF(AA36&gt;0,ROUND(O36*Parametres_Paie!$B$12*Parametres_Paie!$B$14,0),0)</x:f>
        <x:v>0</x:v>
      </x:c>
      <x:c r="AM36" s="64" t="n">
        <x:f>ROUND(AA36*Parametres_Paie!$B$15,0)</x:f>
        <x:v>0</x:v>
      </x:c>
      <x:c r="AN36" s="64" t="n">
        <x:f>ROUND(AA36*Parametres_Paie!$B$16,0)</x:f>
        <x:v>0</x:v>
      </x:c>
      <x:c r="AO36" s="64" t="n">
        <x:f>ROUND(AA36*Parametres_Paie!$B$17,0)</x:f>
        <x:v>0</x:v>
      </x:c>
      <x:c r="AP36" s="64" t="n">
        <x:f>ROUND(AA36*Parametres_Paie!$B$18,0)</x:f>
        <x:v>0</x:v>
      </x:c>
      <x:c r="AQ36" s="64" t="n">
        <x:f>AH36+AI36+AJ36+AK36+AL36+AM36+AN36+AO36+AP36</x:f>
        <x:v>0</x:v>
      </x:c>
      <x:c r="AR36" s="64" t="n">
        <x:f>Y36+S36</x:f>
        <x:v>0</x:v>
      </x:c>
      <x:c r="AS36" s="64" t="n">
        <x:f>AA36+AR36</x:f>
        <x:v>0</x:v>
      </x:c>
      <x:c r="AT36" s="64" t="n">
        <x:f>AS36-AG36</x:f>
        <x:v>0</x:v>
      </x:c>
      <x:c r="AU36" s="64" t="n">
        <x:f>AS36+AQ36</x:f>
        <x:v>0</x:v>
      </x:c>
      <x:c r="AV36" s="25" t="str">
        <x:f>IF(H36&lt;&gt;"Actif","Inactif/à vérifier",IF(K36=0,"Profil paie à compléter",IF(J36="","CNPS manquant","OK")))</x:f>
        <x:v>Profil paie à compléter</x:v>
      </x:c>
      <x:c r="AW36" s="25" t="str">
        <x:f>IFERROR(HYPERLINK("#'Bulletins_Impression'!A"&amp;MATCH(A36,Bulletins_Impression!$B:$B,0),"Voir bulletin"),"Voir bulletin")</x:f>
        <x:v>Voir bulletin</x:v>
      </x:c>
    </x:row>
  </x:sheetData>
  <x:conditionalFormatting sqref="AV2:AV36">
    <x:cfRule type="expression" dxfId="0" priority="1">
      <x:formula>AV2="OK"</x:formula>
    </x:cfRule>
    <x:cfRule type="expression" dxfId="1" priority="2">
      <x:formula>AV2&lt;&gt;"OK"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6ff84203954d0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2" hidden="0" customWidth="1"/>
    <x:col min="4" max="4" width="16" hidden="0" customWidth="1"/>
    <x:col min="5" max="5" width="14" hidden="0" customWidth="1"/>
    <x:col min="6" max="6" width="18" hidden="0" customWidth="1"/>
    <x:col min="7" max="7" width="14" hidden="0" customWidth="1"/>
    <x:col min="8" max="8" width="18" hidden="0" customWidth="1"/>
  </x:cols>
  <x:sheetData>
    <x:row r="1" ht="28" customHeight="1">
      <x:c r="A1" s="70" t="str">
        <x:v>BULLETIN DE PAIE INDIVIDUEL – AAEA / AfWASA</x:v>
      </x:c>
      <x:c r="B1" s="70"/>
      <x:c r="C1" s="70"/>
      <x:c r="D1" s="70"/>
      <x:c r="E1" s="70"/>
      <x:c r="F1" s="70"/>
      <x:c r="G1" s="70"/>
      <x:c r="H1" s="70"/>
    </x:row>
    <x:row r="3">
      <x:c r="A3" s="14" t="str">
        <x:v>Matricule à afficher</x:v>
      </x:c>
      <x:c r="B3" s="34" t="str">
        <x:v>0000Z</x:v>
      </x:c>
      <x:c r="C3" t="str">
        <x:v>Sélectionner un matricule dans la liste</x:v>
      </x:c>
    </x:row>
    <x:row r="4">
      <x:c r="A4" s="14" t="str">
        <x:v>Période</x:v>
      </x:c>
      <x:c r="B4" s="34" t="str">
        <x:f>Parametres_Paie!B26</x:f>
        <x:v>Janvier 2025</x:v>
      </x:c>
      <x:c r="C4" t="str"/>
    </x:row>
    <x:row r="6">
      <x:c r="A6" s="21" t="str">
        <x:v>Employé</x:v>
      </x:c>
      <x:c r="B6" t="str">
        <x:f>INDEX(Lot_paie!$B:$B,MATCH($B$3,Lot_paie!$A:$A,0))&amp;" "&amp;INDEX(Lot_paie!$C:$C,MATCH($B$3,Lot_paie!$A:$A,0))</x:f>
        <x:v>KANGA Kouamé Alexandre</x:v>
      </x:c>
      <x:c r="C6" s="21" t="str">
        <x:v>Poste</x:v>
      </x:c>
      <x:c r="D6" t="str">
        <x:f>INDEX(Lot_paie!$F:$F,MATCH($B$3,Lot_paie!$A:$A,0))</x:f>
        <x:v>Responsable Données et Stratégies</x:v>
      </x:c>
    </x:row>
    <x:row r="7">
      <x:c r="A7" s="21" t="str">
        <x:v>Direction</x:v>
      </x:c>
      <x:c r="B7" t="str">
        <x:f>INDEX(Lot_paie!$D:$D,MATCH($B$3,Lot_paie!$A:$A,0))</x:f>
        <x:v>Cabinet de la Direction Exécutive</x:v>
      </x:c>
      <x:c r="C7" s="21" t="str">
        <x:v>Service</x:v>
      </x:c>
      <x:c r="D7" t="str">
        <x:f>INDEX(Lot_paie!$E:$E,MATCH($B$3,Lot_paie!$A:$A,0))</x:f>
        <x:v>Cabinet DEX</x:v>
      </x:c>
    </x:row>
    <x:row r="8">
      <x:c r="A8" s="21" t="str">
        <x:v>Date entrée</x:v>
      </x:c>
      <x:c r="B8" s="42" t="n">
        <x:f>INDEX(Lot_paie!$I:$I,MATCH($B$3,Lot_paie!$A:$A,0))</x:f>
        <x:v>44896</x:v>
      </x:c>
      <x:c r="C8" s="21" t="str">
        <x:v>Ancienneté</x:v>
      </x:c>
      <x:c r="D8" t="str">
        <x:f>INDEX(Lot_paie!$V:$V,MATCH($B$3,Lot_paie!$A:$A,0))</x:f>
        <x:v>2 ans (calcul période)</x:v>
      </x:c>
    </x:row>
    <x:row r="9">
      <x:c r="A9" s="21" t="str">
        <x:v>Matricule CNPS</x:v>
      </x:c>
      <x:c r="B9" t="n">
        <x:f>INDEX(Lot_paie!$J:$J,MATCH($B$3,Lot_paie!$A:$A,0))</x:f>
        <x:v>183011531120</x:v>
      </x:c>
      <x:c r="C9" s="21" t="str">
        <x:v>Statut RH</x:v>
      </x:c>
      <x:c r="D9" t="str">
        <x:f>INDEX(Lot_paie!$H:$H,MATCH($B$3,Lot_paie!$A:$A,0))</x:f>
        <x:v>Actif</x:v>
      </x:c>
    </x:row>
    <x:row r="12">
      <x:c r="A12" s="14" t="str">
        <x:v>N°</x:v>
      </x:c>
      <x:c r="B12" s="14" t="str">
        <x:v>Désignation</x:v>
      </x:c>
      <x:c r="C12" s="14" t="str">
        <x:v>Nombre</x:v>
      </x:c>
      <x:c r="D12" s="14" t="str">
        <x:v>Base</x:v>
      </x:c>
      <x:c r="E12" s="14" t="str">
        <x:v>Taux salarial</x:v>
      </x:c>
      <x:c r="F12" s="14" t="str">
        <x:v>Retenue salarié</x:v>
      </x:c>
      <x:c r="G12" s="14" t="str">
        <x:v>Taux patronal</x:v>
      </x:c>
      <x:c r="H12" s="14" t="str">
        <x:v>Retenue patronale</x:v>
      </x:c>
    </x:row>
    <x:row r="13">
      <x:c r="A13" s="25" t="str">
        <x:v>100</x:v>
      </x:c>
      <x:c r="B13" s="25" t="str">
        <x:v>Salaire de base</x:v>
      </x:c>
      <x:c r="C13" s="25" t="str">
        <x:v>30</x:v>
      </x:c>
      <x:c r="D13" s="64" t="n">
        <x:f>INDEX(Lot_paie!$K:$K,MATCH($B$3,Lot_paie!$A:$A,0))</x:f>
        <x:v>176701</x:v>
      </x:c>
      <x:c r="E13" s="64" t="str"/>
      <x:c r="F13" s="64" t="str"/>
      <x:c r="G13" s="64" t="str"/>
      <x:c r="H13" s="64" t="str"/>
    </x:row>
    <x:row r="14">
      <x:c r="A14" s="25" t="str">
        <x:v>110</x:v>
      </x:c>
      <x:c r="B14" s="25" t="str">
        <x:v>Sursalaire</x:v>
      </x:c>
      <x:c r="C14" s="25" t="str">
        <x:v>30</x:v>
      </x:c>
      <x:c r="D14" s="64" t="n">
        <x:f>INDEX(Lot_paie!$L:$L,MATCH($B$3,Lot_paie!$A:$A,0))</x:f>
        <x:v>769549</x:v>
      </x:c>
      <x:c r="E14" s="64" t="str"/>
      <x:c r="F14" s="64" t="str"/>
      <x:c r="G14" s="64" t="str"/>
      <x:c r="H14" s="64" t="str"/>
    </x:row>
    <x:row r="15">
      <x:c r="A15" s="25" t="str">
        <x:v>120</x:v>
      </x:c>
      <x:c r="B15" s="25" t="str">
        <x:v>Prime d’ancienneté</x:v>
      </x:c>
      <x:c r="C15" s="25" t="n">
        <x:f>INDEX(Lot_paie!$U:$U,MATCH($B$3,Lot_paie!$A:$A,0))</x:f>
        <x:v>2</x:v>
      </x:c>
      <x:c r="D15" s="64" t="n">
        <x:f>INDEX(Lot_paie!$X:$X,MATCH($B$3,Lot_paie!$A:$A,0))</x:f>
        <x:v>3534</x:v>
      </x:c>
      <x:c r="E15" s="64" t="str"/>
      <x:c r="F15" s="64" t="str"/>
      <x:c r="G15" s="64" t="str"/>
      <x:c r="H15" s="64" t="str"/>
    </x:row>
    <x:row r="16">
      <x:c r="A16" s="25" t="str"/>
      <x:c r="B16" s="24" t="str">
        <x:v>Total brut imposable</x:v>
      </x:c>
      <x:c r="C16" s="24" t="str"/>
      <x:c r="D16" s="76" t="str"/>
      <x:c r="E16" s="76" t="str"/>
      <x:c r="F16" s="76" t="n">
        <x:f>INDEX(Lot_paie!$AA:$AA,MATCH($B$3,Lot_paie!$A:$A,0))</x:f>
        <x:v>949784</x:v>
      </x:c>
      <x:c r="G16" s="76" t="str"/>
      <x:c r="H16" s="76" t="str"/>
    </x:row>
    <x:row r="17">
      <x:c r="A17" s="25" t="str">
        <x:v>810</x:v>
      </x:c>
      <x:c r="B17" s="25" t="str">
        <x:v>C.N.P.S.</x:v>
      </x:c>
      <x:c r="C17" s="25" t="str"/>
      <x:c r="D17" s="64" t="n">
        <x:f>INDEX(Lot_paie!$AB:$AB,MATCH($B$3,Lot_paie!$A:$A,0))</x:f>
        <x:v>949784</x:v>
      </x:c>
      <x:c r="E17" s="66" t="n">
        <x:f>Parametres_Paie!$B$4</x:f>
        <x:v>0.063</x:v>
      </x:c>
      <x:c r="F17" s="64" t="n">
        <x:f>INDEX(Lot_paie!$AC:$AC,MATCH($B$3,Lot_paie!$A:$A,0))</x:f>
        <x:v>59836</x:v>
      </x:c>
      <x:c r="G17" s="66" t="n">
        <x:f>Parametres_Paie!$B$5</x:f>
        <x:v>0.077</x:v>
      </x:c>
      <x:c r="H17" s="64" t="n">
        <x:f>INDEX(Lot_paie!$AH:$AH,MATCH($B$3,Lot_paie!$A:$A,0))</x:f>
        <x:v>73133</x:v>
      </x:c>
    </x:row>
    <x:row r="18">
      <x:c r="A18" s="25" t="str">
        <x:v>815</x:v>
      </x:c>
      <x:c r="B18" s="25" t="str">
        <x:v>Retenue CMU employé</x:v>
      </x:c>
      <x:c r="C18" s="25" t="str"/>
      <x:c r="D18" s="64" t="n">
        <x:f>INDEX(Lot_paie!$AD:$AD,MATCH($B$3,Lot_paie!$A:$A,0))</x:f>
        <x:v>1000</x:v>
      </x:c>
      <x:c r="E18" s="64" t="str"/>
      <x:c r="F18" s="64" t="n">
        <x:f>INDEX(Lot_paie!$AD:$AD,MATCH($B$3,Lot_paie!$A:$A,0))</x:f>
        <x:v>1000</x:v>
      </x:c>
      <x:c r="G18" s="66" t="str"/>
      <x:c r="H18" s="64" t="n">
        <x:f>INDEX(Lot_paie!$AL:$AL,MATCH($B$3,Lot_paie!$A:$A,0))</x:f>
        <x:v>1000</x:v>
      </x:c>
    </x:row>
    <x:row r="19">
      <x:c r="A19" s="25" t="str">
        <x:v>860</x:v>
      </x:c>
      <x:c r="B19" s="25" t="str">
        <x:v>I.T.S</x:v>
      </x:c>
      <x:c r="C19" s="25" t="str"/>
      <x:c r="D19" s="64" t="n">
        <x:f>INDEX(Lot_paie!$AA:$AA,MATCH($B$3,Lot_paie!$A:$A,0))</x:f>
        <x:v>949784</x:v>
      </x:c>
      <x:c r="E19" s="64" t="str"/>
      <x:c r="F19" s="64" t="n">
        <x:f>INDEX(Lot_paie!$AF:$AF,MATCH($B$3,Lot_paie!$A:$A,0))</x:f>
        <x:v>168948</x:v>
      </x:c>
      <x:c r="G19" s="66" t="str"/>
      <x:c r="H19" s="64" t="str"/>
    </x:row>
    <x:row r="20">
      <x:c r="A20" s="25" t="str">
        <x:v>912</x:v>
      </x:c>
      <x:c r="B20" s="25" t="str">
        <x:v>Prestation Familiale</x:v>
      </x:c>
      <x:c r="C20" s="25" t="str"/>
      <x:c r="D20" s="64" t="n">
        <x:f>Parametres_Paie!$B$7</x:f>
        <x:v>75000</x:v>
      </x:c>
      <x:c r="E20" s="64" t="str"/>
      <x:c r="F20" s="64" t="str"/>
      <x:c r="G20" s="66" t="n">
        <x:f>Parametres_Paie!$B$8</x:f>
        <x:v>0.05</x:v>
      </x:c>
      <x:c r="H20" s="64" t="n">
        <x:f>INDEX(Lot_paie!$AI:$AI,MATCH($B$3,Lot_paie!$A:$A,0))</x:f>
        <x:v>3750</x:v>
      </x:c>
    </x:row>
    <x:row r="21">
      <x:c r="A21" s="25" t="str">
        <x:v>913</x:v>
      </x:c>
      <x:c r="B21" s="25" t="str">
        <x:v>Accident de Travail</x:v>
      </x:c>
      <x:c r="C21" s="25" t="str"/>
      <x:c r="D21" s="64" t="n">
        <x:f>Parametres_Paie!$B$7</x:f>
        <x:v>75000</x:v>
      </x:c>
      <x:c r="E21" s="64" t="str"/>
      <x:c r="F21" s="64" t="str"/>
      <x:c r="G21" s="66" t="n">
        <x:f>INDEX(Lot_paie!$T:$T,MATCH($B$3,Lot_paie!$A:$A,0))</x:f>
        <x:v>0.02</x:v>
      </x:c>
      <x:c r="H21" s="64" t="n">
        <x:f>INDEX(Lot_paie!$AJ:$AJ,MATCH($B$3,Lot_paie!$A:$A,0))</x:f>
        <x:v>1500</x:v>
      </x:c>
    </x:row>
    <x:row r="22">
      <x:c r="A22" s="25" t="str">
        <x:v>914</x:v>
      </x:c>
      <x:c r="B22" s="25" t="str">
        <x:v>Assurance Maternité</x:v>
      </x:c>
      <x:c r="C22" s="25" t="str"/>
      <x:c r="D22" s="64" t="n">
        <x:f>Parametres_Paie!$B$7</x:f>
        <x:v>75000</x:v>
      </x:c>
      <x:c r="E22" s="64" t="str"/>
      <x:c r="F22" s="64" t="str"/>
      <x:c r="G22" s="66" t="n">
        <x:f>Parametres_Paie!$B$9</x:f>
        <x:v>0.0075</x:v>
      </x:c>
      <x:c r="H22" s="64" t="n">
        <x:f>INDEX(Lot_paie!$AK:$AK,MATCH($B$3,Lot_paie!$A:$A,0))</x:f>
        <x:v>563</x:v>
      </x:c>
    </x:row>
    <x:row r="23">
      <x:c r="A23" s="25" t="str">
        <x:v>924</x:v>
      </x:c>
      <x:c r="B23" s="25" t="str">
        <x:v>I.S. Employeur Local</x:v>
      </x:c>
      <x:c r="C23" s="25" t="str"/>
      <x:c r="D23" s="64" t="n">
        <x:f>INDEX(Lot_paie!$AA:$AA,MATCH($B$3,Lot_paie!$A:$A,0))</x:f>
        <x:v>949784</x:v>
      </x:c>
      <x:c r="E23" s="64" t="str"/>
      <x:c r="F23" s="64" t="str"/>
      <x:c r="G23" s="66" t="n">
        <x:f>Parametres_Paie!$B$15</x:f>
        <x:v>0.012</x:v>
      </x:c>
      <x:c r="H23" s="64" t="n">
        <x:f>INDEX(Lot_paie!$AM:$AM,MATCH($B$3,Lot_paie!$A:$A,0))</x:f>
        <x:v>11397</x:v>
      </x:c>
    </x:row>
    <x:row r="24">
      <x:c r="A24" s="25" t="str">
        <x:v>930</x:v>
      </x:c>
      <x:c r="B24" s="25" t="str">
        <x:v>Taxe d’Apprentissage</x:v>
      </x:c>
      <x:c r="C24" s="25" t="str"/>
      <x:c r="D24" s="64" t="n">
        <x:f>INDEX(Lot_paie!$AA:$AA,MATCH($B$3,Lot_paie!$A:$A,0))</x:f>
        <x:v>949784</x:v>
      </x:c>
      <x:c r="E24" s="64" t="str"/>
      <x:c r="F24" s="64" t="str"/>
      <x:c r="G24" s="66" t="n">
        <x:f>Parametres_Paie!$B$16</x:f>
        <x:v>0.004</x:v>
      </x:c>
      <x:c r="H24" s="64" t="n">
        <x:f>INDEX(Lot_paie!$AN:$AN,MATCH($B$3,Lot_paie!$A:$A,0))</x:f>
        <x:v>3799</x:v>
      </x:c>
    </x:row>
    <x:row r="25">
      <x:c r="A25" s="25" t="str">
        <x:v>931</x:v>
      </x:c>
      <x:c r="B25" s="25" t="str">
        <x:v>Taxe Formation Professionnelle Continue</x:v>
      </x:c>
      <x:c r="C25" s="25" t="str"/>
      <x:c r="D25" s="64" t="n">
        <x:f>INDEX(Lot_paie!$AA:$AA,MATCH($B$3,Lot_paie!$A:$A,0))</x:f>
        <x:v>949784</x:v>
      </x:c>
      <x:c r="E25" s="64" t="str"/>
      <x:c r="F25" s="64" t="str"/>
      <x:c r="G25" s="66" t="n">
        <x:f>Parametres_Paie!$B$17</x:f>
        <x:v>0.006</x:v>
      </x:c>
      <x:c r="H25" s="64" t="n">
        <x:f>INDEX(Lot_paie!$AO:$AO,MATCH($B$3,Lot_paie!$A:$A,0))</x:f>
        <x:v>5699</x:v>
      </x:c>
    </x:row>
    <x:row r="26">
      <x:c r="A26" s="25" t="str">
        <x:v>932</x:v>
      </x:c>
      <x:c r="B26" s="25" t="str">
        <x:v>Taxe FPC Fin d’année</x:v>
      </x:c>
      <x:c r="C26" s="25" t="str"/>
      <x:c r="D26" s="64" t="n">
        <x:f>INDEX(Lot_paie!$AA:$AA,MATCH($B$3,Lot_paie!$A:$A,0))</x:f>
        <x:v>949784</x:v>
      </x:c>
      <x:c r="E26" s="64" t="str"/>
      <x:c r="F26" s="64" t="str"/>
      <x:c r="G26" s="66" t="n">
        <x:f>Parametres_Paie!$B$18</x:f>
        <x:v>0.006</x:v>
      </x:c>
      <x:c r="H26" s="64" t="n">
        <x:f>INDEX(Lot_paie!$AP:$AP,MATCH($B$3,Lot_paie!$A:$A,0))</x:f>
        <x:v>5699</x:v>
      </x:c>
    </x:row>
    <x:row r="27">
      <x:c r="A27" s="25" t="str"/>
      <x:c r="B27" s="83" t="str">
        <x:v>Total retenues fiscales et sociales</x:v>
      </x:c>
      <x:c r="C27" s="83" t="str"/>
      <x:c r="D27" s="84" t="str"/>
      <x:c r="E27" s="84" t="str"/>
      <x:c r="F27" s="84" t="n">
        <x:f>INDEX(Lot_paie!$AG:$AG,MATCH($B$3,Lot_paie!$A:$A,0))</x:f>
        <x:v>229784</x:v>
      </x:c>
      <x:c r="G27" s="85" t="str"/>
      <x:c r="H27" s="84" t="n">
        <x:f>INDEX(Lot_paie!$AQ:$AQ,MATCH($B$3,Lot_paie!$A:$A,0))</x:f>
        <x:v>106540</x:v>
      </x:c>
    </x:row>
    <x:row r="28">
      <x:c r="A28" s="25" t="str">
        <x:v>204</x:v>
      </x:c>
      <x:c r="B28" s="25" t="str">
        <x:v>Indemnité Transport N. Imposable</x:v>
      </x:c>
      <x:c r="C28" s="25" t="str">
        <x:v>30</x:v>
      </x:c>
      <x:c r="D28" s="64" t="n">
        <x:f>INDEX(Lot_paie!$Y:$Y,MATCH($B$3,Lot_paie!$A:$A,0))</x:f>
        <x:v>30000</x:v>
      </x:c>
      <x:c r="E28" s="64" t="str"/>
      <x:c r="F28" s="64" t="n">
        <x:f>INDEX(Lot_paie!$Y:$Y,MATCH($B$3,Lot_paie!$A:$A,0))</x:f>
        <x:v>30000</x:v>
      </x:c>
      <x:c r="G28" s="66" t="str"/>
      <x:c r="H28" s="64" t="str"/>
    </x:row>
    <x:row r="29">
      <x:c r="A29" s="25" t="str"/>
      <x:c r="B29" s="25" t="str">
        <x:v>Total gains non imposables</x:v>
      </x:c>
      <x:c r="C29" s="25" t="str"/>
      <x:c r="D29" s="64" t="str"/>
      <x:c r="E29" s="64" t="str"/>
      <x:c r="F29" s="64" t="n">
        <x:f>INDEX(Lot_paie!$AR:$AR,MATCH($B$3,Lot_paie!$A:$A,0))</x:f>
        <x:v>30000</x:v>
      </x:c>
      <x:c r="G29" s="66" t="str"/>
      <x:c r="H29" s="64" t="str"/>
    </x:row>
    <x:row r="30">
      <x:c r="A30" s="25" t="str"/>
      <x:c r="B30" s="95" t="str">
        <x:v>NET À PAYER</x:v>
      </x:c>
      <x:c r="C30" s="95" t="str"/>
      <x:c r="D30" s="96" t="str"/>
      <x:c r="E30" s="96" t="str"/>
      <x:c r="F30" s="96" t="str"/>
      <x:c r="G30" s="97" t="str"/>
      <x:c r="H30" s="96" t="n">
        <x:f>INDEX(Lot_paie!$AT:$AT,MATCH($B$3,Lot_paie!$A:$A,0))</x:f>
        <x:v>750000</x:v>
      </x:c>
    </x:row>
  </x:sheetData>
  <x:mergeCells>
    <x:mergeCell ref="A1:H1"/>
  </x:mergeCells>
  <x:dataValidations count="1">
    <x:dataValidation type="list" sqref="B3">
      <x:formula1>Base_Personnel!$A$2:$A$36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2" hidden="0" customWidth="1"/>
    <x:col min="4" max="4" width="16" hidden="0" customWidth="1"/>
    <x:col min="5" max="5" width="12" hidden="0" customWidth="1"/>
    <x:col min="6" max="6" width="16" hidden="0" customWidth="1"/>
    <x:col min="7" max="7" width="12" hidden="0" customWidth="1"/>
    <x:col min="8" max="8" width="16" hidden="0" customWidth="1"/>
  </x:cols>
  <x:sheetData>
    <x:row r="1">
      <x:c r="A1" s="108" t="str">
        <x:v>BULLETIN DE PAIE – AAEA / AfWASA</x:v>
      </x:c>
      <x:c r="B1" s="108"/>
      <x:c r="C1" s="108"/>
      <x:c r="D1" s="108"/>
      <x:c r="E1" s="108"/>
      <x:c r="F1" s="108"/>
      <x:c r="G1" s="108"/>
      <x:c r="H1" s="108"/>
    </x:row>
    <x:row r="2">
      <x:c r="A2" s="25" t="str">
        <x:v>Matricule</x:v>
      </x:c>
      <x:c r="B2" s="25" t="str">
        <x:f>Lot_paie!A2</x:f>
        <x:v>0103F</x:v>
      </x:c>
      <x:c r="C2" s="25" t="str">
        <x:v>Période</x:v>
      </x:c>
      <x:c r="D2" s="25" t="str">
        <x:f>Parametres_Paie!$B$26</x:f>
        <x:v>Janvier 2025</x:v>
      </x:c>
      <x:c r="E2" s="25" t="str">
        <x:v>Paiement</x:v>
      </x:c>
      <x:c r="F2" s="25" t="n">
        <x:f>Parametres_Paie!$B$25</x:f>
        <x:v>45688</x:v>
      </x:c>
      <x:c r="G2" s="25" t="str"/>
      <x:c r="H2" s="25" t="str"/>
    </x:row>
    <x:row r="3">
      <x:c r="A3" s="25" t="str">
        <x:v>Nom et prénom</x:v>
      </x:c>
      <x:c r="B3" s="25" t="str">
        <x:f>Lot_paie!B2&amp;" "&amp;Lot_paie!C2</x:f>
        <x:v>ZOCLI Kouessi Christian Ernest Junior</x:v>
      </x:c>
      <x:c r="C3" s="25" t="str">
        <x:v>Poste</x:v>
      </x:c>
      <x:c r="D3" s="25" t="str">
        <x:f>Lot_paie!F2</x:f>
        <x:v>Resp. Conformité Performance</x:v>
      </x:c>
      <x:c r="E3" s="25" t="str">
        <x:v>CNPS</x:v>
      </x:c>
      <x:c r="F3" s="25" t="n">
        <x:f>Lot_paie!J2</x:f>
        <x:v>202400033605</x:v>
      </x:c>
      <x:c r="G3" s="25" t="str"/>
      <x:c r="H3" s="25" t="str"/>
    </x:row>
    <x:row r="4">
      <x:c r="A4" s="25" t="str">
        <x:v>Direction</x:v>
      </x:c>
      <x:c r="B4" s="25" t="str">
        <x:f>Lot_paie!D2</x:f>
        <x:v>Cabinet de la Direction Exécutive</x:v>
      </x:c>
      <x:c r="C4" s="25" t="str">
        <x:v>Date entrée</x:v>
      </x:c>
      <x:c r="D4" s="25" t="n">
        <x:f>Lot_paie!I2</x:f>
        <x:v>45341</x:v>
      </x:c>
      <x:c r="E4" s="25" t="str">
        <x:v>Ancienneté</x:v>
      </x:c>
      <x:c r="F4" s="25" t="str">
        <x:f>Lot_paie!V2</x:f>
        <x:v>0 ans (calcul période)</x:v>
      </x:c>
      <x:c r="G4" s="25" t="str"/>
      <x:c r="H4" s="25" t="str"/>
    </x:row>
    <x:row r="5">
      <x:c r="A5" s="25"/>
      <x:c r="B5" s="25"/>
      <x:c r="C5" s="25"/>
      <x:c r="D5" s="25"/>
      <x:c r="E5" s="25"/>
      <x:c r="F5" s="25"/>
      <x:c r="G5" s="25"/>
      <x:c r="H5" s="25"/>
    </x:row>
    <x:row r="6">
      <x:c r="A6" s="14" t="str">
        <x:v>N°</x:v>
      </x:c>
      <x:c r="B6" s="14" t="str">
        <x:v>Désignation</x:v>
      </x:c>
      <x:c r="C6" s="14" t="str">
        <x:v>Nombre</x:v>
      </x:c>
      <x:c r="D6" s="14" t="str">
        <x:v>Base</x:v>
      </x:c>
      <x:c r="E6" s="14" t="str">
        <x:v>Taux Sal.</x:v>
      </x:c>
      <x:c r="F6" s="14" t="str">
        <x:v>Ret. Sal.</x:v>
      </x:c>
      <x:c r="G6" s="14" t="str">
        <x:v>Taux Pat.</x:v>
      </x:c>
      <x:c r="H6" s="14" t="str">
        <x:v>Ret. Pat.</x:v>
      </x:c>
    </x:row>
    <x:row r="7">
      <x:c r="A7" s="25" t="str">
        <x:v>100</x:v>
      </x:c>
      <x:c r="B7" s="25" t="str">
        <x:v>Salaire de base</x:v>
      </x:c>
      <x:c r="C7" s="25" t="str">
        <x:v>30</x:v>
      </x:c>
      <x:c r="D7" s="64" t="n">
        <x:f>Lot_paie!K2</x:f>
        <x:v>0</x:v>
      </x:c>
      <x:c r="E7" s="64" t="str"/>
      <x:c r="F7" s="64" t="str"/>
      <x:c r="G7" s="64" t="str"/>
      <x:c r="H7" s="64" t="str"/>
    </x:row>
    <x:row r="8">
      <x:c r="A8" s="25" t="str">
        <x:v>110</x:v>
      </x:c>
      <x:c r="B8" s="25" t="str">
        <x:v>Sursalaire</x:v>
      </x:c>
      <x:c r="C8" s="25" t="str">
        <x:v>30</x:v>
      </x:c>
      <x:c r="D8" s="64" t="n">
        <x:f>Lot_paie!L2</x:f>
        <x:v>0</x:v>
      </x:c>
      <x:c r="E8" s="64" t="str"/>
      <x:c r="F8" s="64" t="str"/>
      <x:c r="G8" s="64" t="str"/>
      <x:c r="H8" s="64" t="str"/>
    </x:row>
    <x:row r="9">
      <x:c r="A9" s="25" t="str">
        <x:v>120</x:v>
      </x:c>
      <x:c r="B9" s="25" t="str">
        <x:v>Prime ancienneté</x:v>
      </x:c>
      <x:c r="C9" s="25" t="n">
        <x:f>Lot_paie!U2</x:f>
        <x:v>0</x:v>
      </x:c>
      <x:c r="D9" s="64" t="n">
        <x:f>Lot_paie!X2</x:f>
        <x:v>0</x:v>
      </x:c>
      <x:c r="E9" s="64" t="str"/>
      <x:c r="F9" s="64" t="str"/>
      <x:c r="G9" s="64" t="str"/>
      <x:c r="H9" s="64" t="str"/>
    </x:row>
    <x:row r="10">
      <x:c r="A10" s="25" t="str"/>
      <x:c r="B10" s="24" t="str">
        <x:v>Total brut imposable</x:v>
      </x:c>
      <x:c r="C10" s="24" t="str"/>
      <x:c r="D10" s="76" t="str"/>
      <x:c r="E10" s="76" t="str"/>
      <x:c r="F10" s="76" t="n">
        <x:f>Lot_paie!AA2</x:f>
        <x:v>0</x:v>
      </x:c>
      <x:c r="G10" s="76" t="str"/>
      <x:c r="H10" s="76" t="str"/>
    </x:row>
    <x:row r="11">
      <x:c r="A11" s="25" t="str">
        <x:v>810</x:v>
      </x:c>
      <x:c r="B11" s="25" t="str">
        <x:v>C.N.P.S.</x:v>
      </x:c>
      <x:c r="C11" s="25" t="str"/>
      <x:c r="D11" s="64" t="n">
        <x:f>Lot_paie!AB2</x:f>
        <x:v>0</x:v>
      </x:c>
      <x:c r="E11" s="66" t="n">
        <x:f>Parametres_Paie!$B$4</x:f>
        <x:v>0.063</x:v>
      </x:c>
      <x:c r="F11" s="64" t="n">
        <x:f>Lot_paie!AC2</x:f>
        <x:v>0</x:v>
      </x:c>
      <x:c r="G11" s="66" t="n">
        <x:f>Parametres_Paie!$B$5</x:f>
        <x:v>0.077</x:v>
      </x:c>
      <x:c r="H11" s="64" t="n">
        <x:f>Lot_paie!AH2</x:f>
        <x:v>0</x:v>
      </x:c>
    </x:row>
    <x:row r="12">
      <x:c r="A12" s="25" t="str">
        <x:v>815</x:v>
      </x:c>
      <x:c r="B12" s="25" t="str">
        <x:v>Retenue CMU employé</x:v>
      </x:c>
      <x:c r="C12" s="25" t="str"/>
      <x:c r="D12" s="64" t="n">
        <x:f>Lot_paie!AD2</x:f>
        <x:v>0</x:v>
      </x:c>
      <x:c r="E12" s="64" t="str"/>
      <x:c r="F12" s="64" t="n">
        <x:f>Lot_paie!AD2</x:f>
        <x:v>0</x:v>
      </x:c>
      <x:c r="G12" s="66" t="str"/>
      <x:c r="H12" s="64" t="n">
        <x:f>Lot_paie!AL2</x:f>
        <x:v>0</x:v>
      </x:c>
    </x:row>
    <x:row r="13">
      <x:c r="A13" s="25" t="str">
        <x:v>860</x:v>
      </x:c>
      <x:c r="B13" s="25" t="str">
        <x:v>I.T.S</x:v>
      </x:c>
      <x:c r="C13" s="25" t="str"/>
      <x:c r="D13" s="64" t="n">
        <x:f>Lot_paie!AA2</x:f>
        <x:v>0</x:v>
      </x:c>
      <x:c r="E13" s="64" t="str"/>
      <x:c r="F13" s="64" t="n">
        <x:f>Lot_paie!AF2</x:f>
        <x:v>0</x:v>
      </x:c>
      <x:c r="G13" s="66" t="str"/>
      <x:c r="H13" s="64" t="str"/>
    </x:row>
    <x:row r="14">
      <x:c r="A14" s="25" t="str">
        <x:v>912</x:v>
      </x:c>
      <x:c r="B14" s="25" t="str">
        <x:v>Prestation Familiale</x:v>
      </x:c>
      <x:c r="C14" s="25" t="str"/>
      <x:c r="D14" s="64" t="n">
        <x:f>Parametres_Paie!$B$7</x:f>
        <x:v>75000</x:v>
      </x:c>
      <x:c r="E14" s="64" t="str"/>
      <x:c r="F14" s="64" t="str"/>
      <x:c r="G14" s="66" t="n">
        <x:f>Parametres_Paie!$B$8</x:f>
        <x:v>0.05</x:v>
      </x:c>
      <x:c r="H14" s="64" t="n">
        <x:f>Lot_paie!AI2</x:f>
        <x:v>0</x:v>
      </x:c>
    </x:row>
    <x:row r="15">
      <x:c r="A15" s="25" t="str">
        <x:v>913</x:v>
      </x:c>
      <x:c r="B15" s="25" t="str">
        <x:v>Accident de Travail</x:v>
      </x:c>
      <x:c r="C15" s="25" t="str"/>
      <x:c r="D15" s="64" t="n">
        <x:f>Parametres_Paie!$B$7</x:f>
        <x:v>75000</x:v>
      </x:c>
      <x:c r="E15" s="64" t="str"/>
      <x:c r="F15" s="64" t="str"/>
      <x:c r="G15" s="66" t="n">
        <x:f>Lot_paie!T2</x:f>
        <x:v>0.02</x:v>
      </x:c>
      <x:c r="H15" s="64" t="n">
        <x:f>Lot_paie!AJ2</x:f>
        <x:v>0</x:v>
      </x:c>
    </x:row>
    <x:row r="16">
      <x:c r="A16" s="25" t="str">
        <x:v>914</x:v>
      </x:c>
      <x:c r="B16" s="25" t="str">
        <x:v>Assurance Maternité</x:v>
      </x:c>
      <x:c r="C16" s="25" t="str"/>
      <x:c r="D16" s="64" t="n">
        <x:f>Parametres_Paie!$B$7</x:f>
        <x:v>75000</x:v>
      </x:c>
      <x:c r="E16" s="64" t="str"/>
      <x:c r="F16" s="64" t="str"/>
      <x:c r="G16" s="66" t="n">
        <x:f>Parametres_Paie!$B$9</x:f>
        <x:v>0.0075</x:v>
      </x:c>
      <x:c r="H16" s="64" t="n">
        <x:f>Lot_paie!AK2</x:f>
        <x:v>0</x:v>
      </x:c>
    </x:row>
    <x:row r="17">
      <x:c r="A17" s="25" t="str">
        <x:v>924</x:v>
      </x:c>
      <x:c r="B17" s="25" t="str">
        <x:v>I.S. Employeur Local</x:v>
      </x:c>
      <x:c r="C17" s="25" t="str"/>
      <x:c r="D17" s="64" t="n">
        <x:f>Lot_paie!AA2</x:f>
        <x:v>0</x:v>
      </x:c>
      <x:c r="E17" s="64" t="str"/>
      <x:c r="F17" s="64" t="str"/>
      <x:c r="G17" s="66" t="n">
        <x:f>Parametres_Paie!$B$15</x:f>
        <x:v>0.012</x:v>
      </x:c>
      <x:c r="H17" s="64" t="n">
        <x:f>Lot_paie!AM2</x:f>
        <x:v>0</x:v>
      </x:c>
    </x:row>
    <x:row r="18">
      <x:c r="A18" s="25" t="str">
        <x:v>930</x:v>
      </x:c>
      <x:c r="B18" s="25" t="str">
        <x:v>Taxe d’Apprentissage</x:v>
      </x:c>
      <x:c r="C18" s="25" t="str"/>
      <x:c r="D18" s="64" t="n">
        <x:f>Lot_paie!AA2</x:f>
        <x:v>0</x:v>
      </x:c>
      <x:c r="E18" s="64" t="str"/>
      <x:c r="F18" s="64" t="str"/>
      <x:c r="G18" s="66" t="n">
        <x:f>Parametres_Paie!$B$16</x:f>
        <x:v>0.004</x:v>
      </x:c>
      <x:c r="H18" s="64" t="n">
        <x:f>Lot_paie!AN2</x:f>
        <x:v>0</x:v>
      </x:c>
    </x:row>
    <x:row r="19">
      <x:c r="A19" s="25" t="str">
        <x:v>931</x:v>
      </x:c>
      <x:c r="B19" s="25" t="str">
        <x:v>Taxe Formation Professionnelle Continue</x:v>
      </x:c>
      <x:c r="C19" s="25" t="str"/>
      <x:c r="D19" s="64" t="n">
        <x:f>Lot_paie!AA2</x:f>
        <x:v>0</x:v>
      </x:c>
      <x:c r="E19" s="64" t="str"/>
      <x:c r="F19" s="64" t="str"/>
      <x:c r="G19" s="66" t="n">
        <x:f>Parametres_Paie!$B$17</x:f>
        <x:v>0.006</x:v>
      </x:c>
      <x:c r="H19" s="64" t="n">
        <x:f>Lot_paie!AO2</x:f>
        <x:v>0</x:v>
      </x:c>
    </x:row>
    <x:row r="20">
      <x:c r="A20" s="25" t="str">
        <x:v>932</x:v>
      </x:c>
      <x:c r="B20" s="25" t="str">
        <x:v>Taxe FPC Fin d’année</x:v>
      </x:c>
      <x:c r="C20" s="25" t="str"/>
      <x:c r="D20" s="64" t="n">
        <x:f>Lot_paie!AA2</x:f>
        <x:v>0</x:v>
      </x:c>
      <x:c r="E20" s="64" t="str"/>
      <x:c r="F20" s="64" t="str"/>
      <x:c r="G20" s="66" t="n">
        <x:f>Parametres_Paie!$B$18</x:f>
        <x:v>0.006</x:v>
      </x:c>
      <x:c r="H20" s="64" t="n">
        <x:f>Lot_paie!AP2</x:f>
        <x:v>0</x:v>
      </x:c>
    </x:row>
    <x:row r="21">
      <x:c r="A21" s="25" t="str"/>
      <x:c r="B21" s="83" t="str">
        <x:v>Total retenues fiscales et sociales</x:v>
      </x:c>
      <x:c r="C21" s="83" t="str"/>
      <x:c r="D21" s="84" t="str"/>
      <x:c r="E21" s="84" t="str"/>
      <x:c r="F21" s="84" t="n">
        <x:f>Lot_paie!AG2</x:f>
        <x:v>0</x:v>
      </x:c>
      <x:c r="G21" s="85" t="str"/>
      <x:c r="H21" s="84" t="n">
        <x:f>Lot_paie!AQ2</x:f>
        <x:v>0</x:v>
      </x:c>
    </x:row>
    <x:row r="22">
      <x:c r="A22" s="25" t="str">
        <x:v>204</x:v>
      </x:c>
      <x:c r="B22" s="25" t="str">
        <x:v>Indemnité Transport N. Imposable</x:v>
      </x:c>
      <x:c r="C22" s="25" t="str">
        <x:v>30</x:v>
      </x:c>
      <x:c r="D22" s="64" t="n">
        <x:f>Lot_paie!Y2</x:f>
        <x:v>0</x:v>
      </x:c>
      <x:c r="E22" s="64" t="str"/>
      <x:c r="F22" s="64" t="n">
        <x:f>Lot_paie!Y2</x:f>
        <x:v>0</x:v>
      </x:c>
      <x:c r="G22" s="66" t="str"/>
      <x:c r="H22" s="64" t="str"/>
    </x:row>
    <x:row r="23">
      <x:c r="A23" s="25" t="str"/>
      <x:c r="B23" s="25" t="str">
        <x:v>Total gains non imposables</x:v>
      </x:c>
      <x:c r="C23" s="25" t="str"/>
      <x:c r="D23" s="64" t="str"/>
      <x:c r="E23" s="64" t="str"/>
      <x:c r="F23" s="64" t="n">
        <x:f>Lot_paie!AR2</x:f>
        <x:v>0</x:v>
      </x:c>
      <x:c r="G23" s="66" t="str"/>
      <x:c r="H23" s="64" t="str"/>
    </x:row>
    <x:row r="24">
      <x:c r="A24" s="25" t="str"/>
      <x:c r="B24" s="110" t="str">
        <x:v>NET À PAYER</x:v>
      </x:c>
      <x:c r="C24" s="110" t="str"/>
      <x:c r="D24" s="111" t="str"/>
      <x:c r="E24" s="111" t="str"/>
      <x:c r="F24" s="111" t="str"/>
      <x:c r="G24" s="112" t="str"/>
      <x:c r="H24" s="111" t="n">
        <x:f>Lot_paie!AT2</x:f>
        <x:v>0</x:v>
      </x:c>
    </x:row>
    <x:row r="25">
      <x:c r="A25" s="25"/>
      <x:c r="B25" s="25"/>
      <x:c r="C25" s="25"/>
      <x:c r="D25" s="25"/>
      <x:c r="E25" s="25"/>
      <x:c r="F25" s="25"/>
      <x:c r="G25" s="25"/>
      <x:c r="H25" s="25"/>
    </x:row>
    <x:row r="26">
      <x:c r="A26" s="25"/>
      <x:c r="B26" s="25"/>
      <x:c r="C26" s="25"/>
      <x:c r="D26" s="25"/>
      <x:c r="E26" s="25"/>
      <x:c r="F26" s="25"/>
      <x:c r="G26" s="25"/>
      <x:c r="H26" s="25"/>
    </x:row>
    <x:row r="27">
      <x:c r="A27" s="25"/>
      <x:c r="B27" s="25"/>
      <x:c r="C27" s="25"/>
      <x:c r="D27" s="25"/>
      <x:c r="E27" s="25"/>
      <x:c r="F27" s="25"/>
      <x:c r="G27" s="25"/>
      <x:c r="H27" s="25"/>
    </x:row>
    <x:row r="28">
      <x:c r="A28" s="25"/>
      <x:c r="B28" s="25"/>
      <x:c r="C28" s="25"/>
      <x:c r="D28" s="25"/>
      <x:c r="E28" s="25"/>
      <x:c r="F28" s="25"/>
      <x:c r="G28" s="25"/>
      <x:c r="H28" s="25"/>
    </x:row>
    <x:row r="29">
      <x:c r="A29" s="25"/>
      <x:c r="B29" s="25"/>
      <x:c r="C29" s="25"/>
      <x:c r="D29" s="25"/>
      <x:c r="E29" s="25"/>
      <x:c r="F29" s="25"/>
      <x:c r="G29" s="25"/>
      <x:c r="H29" s="25"/>
    </x:row>
    <x:row r="30">
      <x:c r="A30" s="25"/>
      <x:c r="B30" s="25"/>
      <x:c r="C30" s="25"/>
      <x:c r="D30" s="25"/>
      <x:c r="E30" s="25"/>
      <x:c r="F30" s="25"/>
      <x:c r="G30" s="25"/>
      <x:c r="H30" s="25"/>
    </x:row>
    <x:row r="31">
      <x:c r="A31" s="25"/>
      <x:c r="B31" s="25"/>
      <x:c r="C31" s="25"/>
      <x:c r="D31" s="25"/>
      <x:c r="E31" s="25"/>
      <x:c r="F31" s="25"/>
      <x:c r="G31" s="25"/>
      <x:c r="H31" s="25"/>
    </x:row>
    <x:row r="33">
      <x:c r="A33" s="108" t="str">
        <x:v>BULLETIN DE PAIE – AAEA / AfWASA</x:v>
      </x:c>
      <x:c r="B33" s="108"/>
      <x:c r="C33" s="108"/>
      <x:c r="D33" s="108"/>
      <x:c r="E33" s="108"/>
      <x:c r="F33" s="108"/>
      <x:c r="G33" s="108"/>
      <x:c r="H33" s="108"/>
    </x:row>
    <x:row r="34">
      <x:c r="A34" s="25" t="str">
        <x:v>Matricule</x:v>
      </x:c>
      <x:c r="B34" s="25" t="str">
        <x:f>Lot_paie!A3</x:f>
        <x:v>0085N</x:v>
      </x:c>
      <x:c r="C34" s="25" t="str">
        <x:v>Période</x:v>
      </x:c>
      <x:c r="D34" s="25" t="str">
        <x:f>Parametres_Paie!$B$26</x:f>
        <x:v>Janvier 2025</x:v>
      </x:c>
      <x:c r="E34" s="25" t="str">
        <x:v>Paiement</x:v>
      </x:c>
      <x:c r="F34" s="25" t="n">
        <x:f>Parametres_Paie!$B$25</x:f>
        <x:v>45688</x:v>
      </x:c>
      <x:c r="G34" s="25" t="str"/>
      <x:c r="H34" s="25" t="str"/>
    </x:row>
    <x:row r="35">
      <x:c r="A35" s="25" t="str">
        <x:v>Nom et prénom</x:v>
      </x:c>
      <x:c r="B35" s="25" t="str">
        <x:f>Lot_paie!B3&amp;" "&amp;Lot_paie!C3</x:f>
        <x:v>DANKOULOU KHADY YASMINA</x:v>
      </x:c>
      <x:c r="C35" s="25" t="str">
        <x:v>Poste</x:v>
      </x:c>
      <x:c r="D35" s="25" t="str">
        <x:f>Lot_paie!F3</x:f>
        <x:v>Assistante DMS</x:v>
      </x:c>
      <x:c r="E35" s="25" t="str">
        <x:v>CNPS</x:v>
      </x:c>
      <x:c r="F35" s="25" t="n">
        <x:f>Lot_paie!J3</x:f>
        <x:v>202300058236</x:v>
      </x:c>
      <x:c r="G35" s="25" t="str"/>
      <x:c r="H35" s="25" t="str"/>
    </x:row>
    <x:row r="36">
      <x:c r="A36" s="25" t="str">
        <x:v>Direction</x:v>
      </x:c>
      <x:c r="B36" s="25" t="str">
        <x:f>Lot_paie!D3</x:f>
        <x:v>Direction des Services aux Membres et des Programmes</x:v>
      </x:c>
      <x:c r="C36" s="25" t="str">
        <x:v>Date entrée</x:v>
      </x:c>
      <x:c r="D36" s="25" t="n">
        <x:f>Lot_paie!I3</x:f>
        <x:v>44873</x:v>
      </x:c>
      <x:c r="E36" s="25" t="str">
        <x:v>Ancienneté</x:v>
      </x:c>
      <x:c r="F36" s="25" t="str">
        <x:f>Lot_paie!V3</x:f>
        <x:v>2 ans (calcul période)</x:v>
      </x:c>
      <x:c r="G36" s="25" t="str"/>
      <x:c r="H36" s="25" t="str"/>
    </x:row>
    <x:row r="37">
      <x:c r="A37" s="25"/>
      <x:c r="B37" s="25"/>
      <x:c r="C37" s="25"/>
      <x:c r="D37" s="25"/>
      <x:c r="E37" s="25"/>
      <x:c r="F37" s="25"/>
      <x:c r="G37" s="25"/>
      <x:c r="H37" s="25"/>
    </x:row>
    <x:row r="38">
      <x:c r="A38" s="14" t="str">
        <x:v>N°</x:v>
      </x:c>
      <x:c r="B38" s="14" t="str">
        <x:v>Désignation</x:v>
      </x:c>
      <x:c r="C38" s="14" t="str">
        <x:v>Nombre</x:v>
      </x:c>
      <x:c r="D38" s="14" t="str">
        <x:v>Base</x:v>
      </x:c>
      <x:c r="E38" s="14" t="str">
        <x:v>Taux Sal.</x:v>
      </x:c>
      <x:c r="F38" s="14" t="str">
        <x:v>Ret. Sal.</x:v>
      </x:c>
      <x:c r="G38" s="14" t="str">
        <x:v>Taux Pat.</x:v>
      </x:c>
      <x:c r="H38" s="14" t="str">
        <x:v>Ret. Pat.</x:v>
      </x:c>
    </x:row>
    <x:row r="39">
      <x:c r="A39" s="25" t="str">
        <x:v>100</x:v>
      </x:c>
      <x:c r="B39" s="25" t="str">
        <x:v>Salaire de base</x:v>
      </x:c>
      <x:c r="C39" s="25" t="str">
        <x:v>30</x:v>
      </x:c>
      <x:c r="D39" s="64" t="n">
        <x:f>Lot_paie!K3</x:f>
        <x:v>0</x:v>
      </x:c>
      <x:c r="E39" s="64" t="str"/>
      <x:c r="F39" s="64" t="str"/>
      <x:c r="G39" s="64" t="str"/>
      <x:c r="H39" s="64" t="str"/>
    </x:row>
    <x:row r="40">
      <x:c r="A40" s="25" t="str">
        <x:v>110</x:v>
      </x:c>
      <x:c r="B40" s="25" t="str">
        <x:v>Sursalaire</x:v>
      </x:c>
      <x:c r="C40" s="25" t="str">
        <x:v>30</x:v>
      </x:c>
      <x:c r="D40" s="64" t="n">
        <x:f>Lot_paie!L3</x:f>
        <x:v>0</x:v>
      </x:c>
      <x:c r="E40" s="64" t="str"/>
      <x:c r="F40" s="64" t="str"/>
      <x:c r="G40" s="64" t="str"/>
      <x:c r="H40" s="64" t="str"/>
    </x:row>
    <x:row r="41">
      <x:c r="A41" s="25" t="str">
        <x:v>120</x:v>
      </x:c>
      <x:c r="B41" s="25" t="str">
        <x:v>Prime ancienneté</x:v>
      </x:c>
      <x:c r="C41" s="25" t="n">
        <x:f>Lot_paie!U3</x:f>
        <x:v>2</x:v>
      </x:c>
      <x:c r="D41" s="64" t="n">
        <x:f>Lot_paie!X3</x:f>
        <x:v>0</x:v>
      </x:c>
      <x:c r="E41" s="64" t="str"/>
      <x:c r="F41" s="64" t="str"/>
      <x:c r="G41" s="64" t="str"/>
      <x:c r="H41" s="64" t="str"/>
    </x:row>
    <x:row r="42">
      <x:c r="A42" s="25" t="str"/>
      <x:c r="B42" s="24" t="str">
        <x:v>Total brut imposable</x:v>
      </x:c>
      <x:c r="C42" s="24" t="str"/>
      <x:c r="D42" s="76" t="str"/>
      <x:c r="E42" s="76" t="str"/>
      <x:c r="F42" s="76" t="n">
        <x:f>Lot_paie!AA3</x:f>
        <x:v>0</x:v>
      </x:c>
      <x:c r="G42" s="76" t="str"/>
      <x:c r="H42" s="76" t="str"/>
    </x:row>
    <x:row r="43">
      <x:c r="A43" s="25" t="str">
        <x:v>810</x:v>
      </x:c>
      <x:c r="B43" s="25" t="str">
        <x:v>C.N.P.S.</x:v>
      </x:c>
      <x:c r="C43" s="25" t="str"/>
      <x:c r="D43" s="64" t="n">
        <x:f>Lot_paie!AB3</x:f>
        <x:v>0</x:v>
      </x:c>
      <x:c r="E43" s="66" t="n">
        <x:f>Parametres_Paie!$B$4</x:f>
        <x:v>0.063</x:v>
      </x:c>
      <x:c r="F43" s="64" t="n">
        <x:f>Lot_paie!AC3</x:f>
        <x:v>0</x:v>
      </x:c>
      <x:c r="G43" s="66" t="n">
        <x:f>Parametres_Paie!$B$5</x:f>
        <x:v>0.077</x:v>
      </x:c>
      <x:c r="H43" s="64" t="n">
        <x:f>Lot_paie!AH3</x:f>
        <x:v>0</x:v>
      </x:c>
    </x:row>
    <x:row r="44">
      <x:c r="A44" s="25" t="str">
        <x:v>815</x:v>
      </x:c>
      <x:c r="B44" s="25" t="str">
        <x:v>Retenue CMU employé</x:v>
      </x:c>
      <x:c r="C44" s="25" t="str"/>
      <x:c r="D44" s="64" t="n">
        <x:f>Lot_paie!AD3</x:f>
        <x:v>0</x:v>
      </x:c>
      <x:c r="E44" s="64" t="str"/>
      <x:c r="F44" s="64" t="n">
        <x:f>Lot_paie!AD3</x:f>
        <x:v>0</x:v>
      </x:c>
      <x:c r="G44" s="66" t="str"/>
      <x:c r="H44" s="64" t="n">
        <x:f>Lot_paie!AL3</x:f>
        <x:v>0</x:v>
      </x:c>
    </x:row>
    <x:row r="45">
      <x:c r="A45" s="25" t="str">
        <x:v>860</x:v>
      </x:c>
      <x:c r="B45" s="25" t="str">
        <x:v>I.T.S</x:v>
      </x:c>
      <x:c r="C45" s="25" t="str"/>
      <x:c r="D45" s="64" t="n">
        <x:f>Lot_paie!AA3</x:f>
        <x:v>0</x:v>
      </x:c>
      <x:c r="E45" s="64" t="str"/>
      <x:c r="F45" s="64" t="n">
        <x:f>Lot_paie!AF3</x:f>
        <x:v>0</x:v>
      </x:c>
      <x:c r="G45" s="66" t="str"/>
      <x:c r="H45" s="64" t="str"/>
    </x:row>
    <x:row r="46">
      <x:c r="A46" s="25" t="str">
        <x:v>912</x:v>
      </x:c>
      <x:c r="B46" s="25" t="str">
        <x:v>Prestation Familiale</x:v>
      </x:c>
      <x:c r="C46" s="25" t="str"/>
      <x:c r="D46" s="64" t="n">
        <x:f>Parametres_Paie!$B$7</x:f>
        <x:v>75000</x:v>
      </x:c>
      <x:c r="E46" s="64" t="str"/>
      <x:c r="F46" s="64" t="str"/>
      <x:c r="G46" s="66" t="n">
        <x:f>Parametres_Paie!$B$8</x:f>
        <x:v>0.05</x:v>
      </x:c>
      <x:c r="H46" s="64" t="n">
        <x:f>Lot_paie!AI3</x:f>
        <x:v>0</x:v>
      </x:c>
    </x:row>
    <x:row r="47">
      <x:c r="A47" s="25" t="str">
        <x:v>913</x:v>
      </x:c>
      <x:c r="B47" s="25" t="str">
        <x:v>Accident de Travail</x:v>
      </x:c>
      <x:c r="C47" s="25" t="str"/>
      <x:c r="D47" s="64" t="n">
        <x:f>Parametres_Paie!$B$7</x:f>
        <x:v>75000</x:v>
      </x:c>
      <x:c r="E47" s="64" t="str"/>
      <x:c r="F47" s="64" t="str"/>
      <x:c r="G47" s="66" t="n">
        <x:f>Lot_paie!T3</x:f>
        <x:v>0.02</x:v>
      </x:c>
      <x:c r="H47" s="64" t="n">
        <x:f>Lot_paie!AJ3</x:f>
        <x:v>0</x:v>
      </x:c>
    </x:row>
    <x:row r="48">
      <x:c r="A48" s="25" t="str">
        <x:v>914</x:v>
      </x:c>
      <x:c r="B48" s="25" t="str">
        <x:v>Assurance Maternité</x:v>
      </x:c>
      <x:c r="C48" s="25" t="str"/>
      <x:c r="D48" s="64" t="n">
        <x:f>Parametres_Paie!$B$7</x:f>
        <x:v>75000</x:v>
      </x:c>
      <x:c r="E48" s="64" t="str"/>
      <x:c r="F48" s="64" t="str"/>
      <x:c r="G48" s="66" t="n">
        <x:f>Parametres_Paie!$B$9</x:f>
        <x:v>0.0075</x:v>
      </x:c>
      <x:c r="H48" s="64" t="n">
        <x:f>Lot_paie!AK3</x:f>
        <x:v>0</x:v>
      </x:c>
    </x:row>
    <x:row r="49">
      <x:c r="A49" s="25" t="str">
        <x:v>924</x:v>
      </x:c>
      <x:c r="B49" s="25" t="str">
        <x:v>I.S. Employeur Local</x:v>
      </x:c>
      <x:c r="C49" s="25" t="str"/>
      <x:c r="D49" s="64" t="n">
        <x:f>Lot_paie!AA3</x:f>
        <x:v>0</x:v>
      </x:c>
      <x:c r="E49" s="64" t="str"/>
      <x:c r="F49" s="64" t="str"/>
      <x:c r="G49" s="66" t="n">
        <x:f>Parametres_Paie!$B$15</x:f>
        <x:v>0.012</x:v>
      </x:c>
      <x:c r="H49" s="64" t="n">
        <x:f>Lot_paie!AM3</x:f>
        <x:v>0</x:v>
      </x:c>
    </x:row>
    <x:row r="50">
      <x:c r="A50" s="25" t="str">
        <x:v>930</x:v>
      </x:c>
      <x:c r="B50" s="25" t="str">
        <x:v>Taxe d’Apprentissage</x:v>
      </x:c>
      <x:c r="C50" s="25" t="str"/>
      <x:c r="D50" s="64" t="n">
        <x:f>Lot_paie!AA3</x:f>
        <x:v>0</x:v>
      </x:c>
      <x:c r="E50" s="64" t="str"/>
      <x:c r="F50" s="64" t="str"/>
      <x:c r="G50" s="66" t="n">
        <x:f>Parametres_Paie!$B$16</x:f>
        <x:v>0.004</x:v>
      </x:c>
      <x:c r="H50" s="64" t="n">
        <x:f>Lot_paie!AN3</x:f>
        <x:v>0</x:v>
      </x:c>
    </x:row>
    <x:row r="51">
      <x:c r="A51" s="25" t="str">
        <x:v>931</x:v>
      </x:c>
      <x:c r="B51" s="25" t="str">
        <x:v>Taxe Formation Professionnelle Continue</x:v>
      </x:c>
      <x:c r="C51" s="25" t="str"/>
      <x:c r="D51" s="64" t="n">
        <x:f>Lot_paie!AA3</x:f>
        <x:v>0</x:v>
      </x:c>
      <x:c r="E51" s="64" t="str"/>
      <x:c r="F51" s="64" t="str"/>
      <x:c r="G51" s="66" t="n">
        <x:f>Parametres_Paie!$B$17</x:f>
        <x:v>0.006</x:v>
      </x:c>
      <x:c r="H51" s="64" t="n">
        <x:f>Lot_paie!AO3</x:f>
        <x:v>0</x:v>
      </x:c>
    </x:row>
    <x:row r="52">
      <x:c r="A52" s="25" t="str">
        <x:v>932</x:v>
      </x:c>
      <x:c r="B52" s="25" t="str">
        <x:v>Taxe FPC Fin d’année</x:v>
      </x:c>
      <x:c r="C52" s="25" t="str"/>
      <x:c r="D52" s="64" t="n">
        <x:f>Lot_paie!AA3</x:f>
        <x:v>0</x:v>
      </x:c>
      <x:c r="E52" s="64" t="str"/>
      <x:c r="F52" s="64" t="str"/>
      <x:c r="G52" s="66" t="n">
        <x:f>Parametres_Paie!$B$18</x:f>
        <x:v>0.006</x:v>
      </x:c>
      <x:c r="H52" s="64" t="n">
        <x:f>Lot_paie!AP3</x:f>
        <x:v>0</x:v>
      </x:c>
    </x:row>
    <x:row r="53">
      <x:c r="A53" s="25" t="str"/>
      <x:c r="B53" s="83" t="str">
        <x:v>Total retenues fiscales et sociales</x:v>
      </x:c>
      <x:c r="C53" s="83" t="str"/>
      <x:c r="D53" s="84" t="str"/>
      <x:c r="E53" s="84" t="str"/>
      <x:c r="F53" s="84" t="n">
        <x:f>Lot_paie!AG3</x:f>
        <x:v>0</x:v>
      </x:c>
      <x:c r="G53" s="85" t="str"/>
      <x:c r="H53" s="84" t="n">
        <x:f>Lot_paie!AQ3</x:f>
        <x:v>0</x:v>
      </x:c>
    </x:row>
    <x:row r="54">
      <x:c r="A54" s="25" t="str">
        <x:v>204</x:v>
      </x:c>
      <x:c r="B54" s="25" t="str">
        <x:v>Indemnité Transport N. Imposable</x:v>
      </x:c>
      <x:c r="C54" s="25" t="str">
        <x:v>30</x:v>
      </x:c>
      <x:c r="D54" s="64" t="n">
        <x:f>Lot_paie!Y3</x:f>
        <x:v>0</x:v>
      </x:c>
      <x:c r="E54" s="64" t="str"/>
      <x:c r="F54" s="64" t="n">
        <x:f>Lot_paie!Y3</x:f>
        <x:v>0</x:v>
      </x:c>
      <x:c r="G54" s="66" t="str"/>
      <x:c r="H54" s="64" t="str"/>
    </x:row>
    <x:row r="55">
      <x:c r="A55" s="25" t="str"/>
      <x:c r="B55" s="25" t="str">
        <x:v>Total gains non imposables</x:v>
      </x:c>
      <x:c r="C55" s="25" t="str"/>
      <x:c r="D55" s="64" t="str"/>
      <x:c r="E55" s="64" t="str"/>
      <x:c r="F55" s="64" t="n">
        <x:f>Lot_paie!AR3</x:f>
        <x:v>0</x:v>
      </x:c>
      <x:c r="G55" s="66" t="str"/>
      <x:c r="H55" s="64" t="str"/>
    </x:row>
    <x:row r="56">
      <x:c r="A56" s="25" t="str"/>
      <x:c r="B56" s="110" t="str">
        <x:v>NET À PAYER</x:v>
      </x:c>
      <x:c r="C56" s="110" t="str"/>
      <x:c r="D56" s="111" t="str"/>
      <x:c r="E56" s="111" t="str"/>
      <x:c r="F56" s="111" t="str"/>
      <x:c r="G56" s="112" t="str"/>
      <x:c r="H56" s="111" t="n">
        <x:f>Lot_paie!AT3</x:f>
        <x:v>0</x:v>
      </x:c>
    </x:row>
    <x:row r="57">
      <x:c r="A57" s="25"/>
      <x:c r="B57" s="25"/>
      <x:c r="C57" s="25"/>
      <x:c r="D57" s="25"/>
      <x:c r="E57" s="25"/>
      <x:c r="F57" s="25"/>
      <x:c r="G57" s="25"/>
      <x:c r="H57" s="25"/>
    </x:row>
    <x:row r="58">
      <x:c r="A58" s="25"/>
      <x:c r="B58" s="25"/>
      <x:c r="C58" s="25"/>
      <x:c r="D58" s="25"/>
      <x:c r="E58" s="25"/>
      <x:c r="F58" s="25"/>
      <x:c r="G58" s="25"/>
      <x:c r="H58" s="25"/>
    </x:row>
    <x:row r="59">
      <x:c r="A59" s="25"/>
      <x:c r="B59" s="25"/>
      <x:c r="C59" s="25"/>
      <x:c r="D59" s="25"/>
      <x:c r="E59" s="25"/>
      <x:c r="F59" s="25"/>
      <x:c r="G59" s="25"/>
      <x:c r="H59" s="25"/>
    </x:row>
    <x:row r="60">
      <x:c r="A60" s="25"/>
      <x:c r="B60" s="25"/>
      <x:c r="C60" s="25"/>
      <x:c r="D60" s="25"/>
      <x:c r="E60" s="25"/>
      <x:c r="F60" s="25"/>
      <x:c r="G60" s="25"/>
      <x:c r="H60" s="25"/>
    </x:row>
    <x:row r="61">
      <x:c r="A61" s="25"/>
      <x:c r="B61" s="25"/>
      <x:c r="C61" s="25"/>
      <x:c r="D61" s="25"/>
      <x:c r="E61" s="25"/>
      <x:c r="F61" s="25"/>
      <x:c r="G61" s="25"/>
      <x:c r="H61" s="25"/>
    </x:row>
    <x:row r="62">
      <x:c r="A62" s="25"/>
      <x:c r="B62" s="25"/>
      <x:c r="C62" s="25"/>
      <x:c r="D62" s="25"/>
      <x:c r="E62" s="25"/>
      <x:c r="F62" s="25"/>
      <x:c r="G62" s="25"/>
      <x:c r="H62" s="25"/>
    </x:row>
    <x:row r="63">
      <x:c r="A63" s="25"/>
      <x:c r="B63" s="25"/>
      <x:c r="C63" s="25"/>
      <x:c r="D63" s="25"/>
      <x:c r="E63" s="25"/>
      <x:c r="F63" s="25"/>
      <x:c r="G63" s="25"/>
      <x:c r="H63" s="25"/>
    </x:row>
    <x:row r="65">
      <x:c r="A65" s="108" t="str">
        <x:v>BULLETIN DE PAIE – AAEA / AfWASA</x:v>
      </x:c>
      <x:c r="B65" s="108"/>
      <x:c r="C65" s="108"/>
      <x:c r="D65" s="108"/>
      <x:c r="E65" s="108"/>
      <x:c r="F65" s="108"/>
      <x:c r="G65" s="108"/>
      <x:c r="H65" s="108"/>
    </x:row>
    <x:row r="66">
      <x:c r="A66" s="25" t="str">
        <x:v>Matricule</x:v>
      </x:c>
      <x:c r="B66" s="25" t="str">
        <x:f>Lot_paie!A4</x:f>
        <x:v>0008D</x:v>
      </x:c>
      <x:c r="C66" s="25" t="str">
        <x:v>Période</x:v>
      </x:c>
      <x:c r="D66" s="25" t="str">
        <x:f>Parametres_Paie!$B$26</x:f>
        <x:v>Janvier 2025</x:v>
      </x:c>
      <x:c r="E66" s="25" t="str">
        <x:v>Paiement</x:v>
      </x:c>
      <x:c r="F66" s="25" t="n">
        <x:f>Parametres_Paie!$B$25</x:f>
        <x:v>45688</x:v>
      </x:c>
      <x:c r="G66" s="25" t="str"/>
      <x:c r="H66" s="25" t="str"/>
    </x:row>
    <x:row r="67">
      <x:c r="A67" s="25" t="str">
        <x:v>Nom et prénom</x:v>
      </x:c>
      <x:c r="B67" s="25" t="str">
        <x:f>Lot_paie!B4&amp;" "&amp;Lot_paie!C4</x:f>
        <x:v>KOFFI Mathieu Kouakou</x:v>
      </x:c>
      <x:c r="C67" s="25" t="str">
        <x:v>Poste</x:v>
      </x:c>
      <x:c r="D67" s="25" t="str">
        <x:f>Lot_paie!F4</x:f>
        <x:v>Agent Administratif</x:v>
      </x:c>
      <x:c r="E67" s="25" t="str">
        <x:v>CNPS</x:v>
      </x:c>
      <x:c r="F67" s="25" t="n">
        <x:f>Lot_paie!J4</x:f>
        <x:v>169019927028</x:v>
      </x:c>
      <x:c r="G67" s="25" t="str"/>
      <x:c r="H67" s="25" t="str"/>
    </x:row>
    <x:row r="68">
      <x:c r="A68" s="25" t="str">
        <x:v>Direction</x:v>
      </x:c>
      <x:c r="B68" s="25" t="str">
        <x:f>Lot_paie!D4</x:f>
        <x:v>Direction Administrative et Financière</x:v>
      </x:c>
      <x:c r="C68" s="25" t="str">
        <x:v>Date entrée</x:v>
      </x:c>
      <x:c r="D68" s="25" t="n">
        <x:f>Lot_paie!I4</x:f>
        <x:v>36392</x:v>
      </x:c>
      <x:c r="E68" s="25" t="str">
        <x:v>Ancienneté</x:v>
      </x:c>
      <x:c r="F68" s="25" t="str">
        <x:f>Lot_paie!V4</x:f>
        <x:v>25 ans (calcul période)</x:v>
      </x:c>
      <x:c r="G68" s="25" t="str"/>
      <x:c r="H68" s="25" t="str"/>
    </x:row>
    <x:row r="69">
      <x:c r="A69" s="25"/>
      <x:c r="B69" s="25"/>
      <x:c r="C69" s="25"/>
      <x:c r="D69" s="25"/>
      <x:c r="E69" s="25"/>
      <x:c r="F69" s="25"/>
      <x:c r="G69" s="25"/>
      <x:c r="H69" s="25"/>
    </x:row>
    <x:row r="70">
      <x:c r="A70" s="14" t="str">
        <x:v>N°</x:v>
      </x:c>
      <x:c r="B70" s="14" t="str">
        <x:v>Désignation</x:v>
      </x:c>
      <x:c r="C70" s="14" t="str">
        <x:v>Nombre</x:v>
      </x:c>
      <x:c r="D70" s="14" t="str">
        <x:v>Base</x:v>
      </x:c>
      <x:c r="E70" s="14" t="str">
        <x:v>Taux Sal.</x:v>
      </x:c>
      <x:c r="F70" s="14" t="str">
        <x:v>Ret. Sal.</x:v>
      </x:c>
      <x:c r="G70" s="14" t="str">
        <x:v>Taux Pat.</x:v>
      </x:c>
      <x:c r="H70" s="14" t="str">
        <x:v>Ret. Pat.</x:v>
      </x:c>
    </x:row>
    <x:row r="71">
      <x:c r="A71" s="25" t="str">
        <x:v>100</x:v>
      </x:c>
      <x:c r="B71" s="25" t="str">
        <x:v>Salaire de base</x:v>
      </x:c>
      <x:c r="C71" s="25" t="str">
        <x:v>30</x:v>
      </x:c>
      <x:c r="D71" s="64" t="n">
        <x:f>Lot_paie!K4</x:f>
        <x:v>0</x:v>
      </x:c>
      <x:c r="E71" s="64" t="str"/>
      <x:c r="F71" s="64" t="str"/>
      <x:c r="G71" s="64" t="str"/>
      <x:c r="H71" s="64" t="str"/>
    </x:row>
    <x:row r="72">
      <x:c r="A72" s="25" t="str">
        <x:v>110</x:v>
      </x:c>
      <x:c r="B72" s="25" t="str">
        <x:v>Sursalaire</x:v>
      </x:c>
      <x:c r="C72" s="25" t="str">
        <x:v>30</x:v>
      </x:c>
      <x:c r="D72" s="64" t="n">
        <x:f>Lot_paie!L4</x:f>
        <x:v>0</x:v>
      </x:c>
      <x:c r="E72" s="64" t="str"/>
      <x:c r="F72" s="64" t="str"/>
      <x:c r="G72" s="64" t="str"/>
      <x:c r="H72" s="64" t="str"/>
    </x:row>
    <x:row r="73">
      <x:c r="A73" s="25" t="str">
        <x:v>120</x:v>
      </x:c>
      <x:c r="B73" s="25" t="str">
        <x:v>Prime ancienneté</x:v>
      </x:c>
      <x:c r="C73" s="25" t="n">
        <x:f>Lot_paie!U4</x:f>
        <x:v>25</x:v>
      </x:c>
      <x:c r="D73" s="64" t="n">
        <x:f>Lot_paie!X4</x:f>
        <x:v>0</x:v>
      </x:c>
      <x:c r="E73" s="64" t="str"/>
      <x:c r="F73" s="64" t="str"/>
      <x:c r="G73" s="64" t="str"/>
      <x:c r="H73" s="64" t="str"/>
    </x:row>
    <x:row r="74">
      <x:c r="A74" s="25" t="str"/>
      <x:c r="B74" s="24" t="str">
        <x:v>Total brut imposable</x:v>
      </x:c>
      <x:c r="C74" s="24" t="str"/>
      <x:c r="D74" s="76" t="str"/>
      <x:c r="E74" s="76" t="str"/>
      <x:c r="F74" s="76" t="n">
        <x:f>Lot_paie!AA4</x:f>
        <x:v>0</x:v>
      </x:c>
      <x:c r="G74" s="76" t="str"/>
      <x:c r="H74" s="76" t="str"/>
    </x:row>
    <x:row r="75">
      <x:c r="A75" s="25" t="str">
        <x:v>810</x:v>
      </x:c>
      <x:c r="B75" s="25" t="str">
        <x:v>C.N.P.S.</x:v>
      </x:c>
      <x:c r="C75" s="25" t="str"/>
      <x:c r="D75" s="64" t="n">
        <x:f>Lot_paie!AB4</x:f>
        <x:v>0</x:v>
      </x:c>
      <x:c r="E75" s="66" t="n">
        <x:f>Parametres_Paie!$B$4</x:f>
        <x:v>0.063</x:v>
      </x:c>
      <x:c r="F75" s="64" t="n">
        <x:f>Lot_paie!AC4</x:f>
        <x:v>0</x:v>
      </x:c>
      <x:c r="G75" s="66" t="n">
        <x:f>Parametres_Paie!$B$5</x:f>
        <x:v>0.077</x:v>
      </x:c>
      <x:c r="H75" s="64" t="n">
        <x:f>Lot_paie!AH4</x:f>
        <x:v>0</x:v>
      </x:c>
    </x:row>
    <x:row r="76">
      <x:c r="A76" s="25" t="str">
        <x:v>815</x:v>
      </x:c>
      <x:c r="B76" s="25" t="str">
        <x:v>Retenue CMU employé</x:v>
      </x:c>
      <x:c r="C76" s="25" t="str"/>
      <x:c r="D76" s="64" t="n">
        <x:f>Lot_paie!AD4</x:f>
        <x:v>0</x:v>
      </x:c>
      <x:c r="E76" s="64" t="str"/>
      <x:c r="F76" s="64" t="n">
        <x:f>Lot_paie!AD4</x:f>
        <x:v>0</x:v>
      </x:c>
      <x:c r="G76" s="66" t="str"/>
      <x:c r="H76" s="64" t="n">
        <x:f>Lot_paie!AL4</x:f>
        <x:v>0</x:v>
      </x:c>
    </x:row>
    <x:row r="77">
      <x:c r="A77" s="25" t="str">
        <x:v>860</x:v>
      </x:c>
      <x:c r="B77" s="25" t="str">
        <x:v>I.T.S</x:v>
      </x:c>
      <x:c r="C77" s="25" t="str"/>
      <x:c r="D77" s="64" t="n">
        <x:f>Lot_paie!AA4</x:f>
        <x:v>0</x:v>
      </x:c>
      <x:c r="E77" s="64" t="str"/>
      <x:c r="F77" s="64" t="n">
        <x:f>Lot_paie!AF4</x:f>
        <x:v>0</x:v>
      </x:c>
      <x:c r="G77" s="66" t="str"/>
      <x:c r="H77" s="64" t="str"/>
    </x:row>
    <x:row r="78">
      <x:c r="A78" s="25" t="str">
        <x:v>912</x:v>
      </x:c>
      <x:c r="B78" s="25" t="str">
        <x:v>Prestation Familiale</x:v>
      </x:c>
      <x:c r="C78" s="25" t="str"/>
      <x:c r="D78" s="64" t="n">
        <x:f>Parametres_Paie!$B$7</x:f>
        <x:v>75000</x:v>
      </x:c>
      <x:c r="E78" s="64" t="str"/>
      <x:c r="F78" s="64" t="str"/>
      <x:c r="G78" s="66" t="n">
        <x:f>Parametres_Paie!$B$8</x:f>
        <x:v>0.05</x:v>
      </x:c>
      <x:c r="H78" s="64" t="n">
        <x:f>Lot_paie!AI4</x:f>
        <x:v>0</x:v>
      </x:c>
    </x:row>
    <x:row r="79">
      <x:c r="A79" s="25" t="str">
        <x:v>913</x:v>
      </x:c>
      <x:c r="B79" s="25" t="str">
        <x:v>Accident de Travail</x:v>
      </x:c>
      <x:c r="C79" s="25" t="str"/>
      <x:c r="D79" s="64" t="n">
        <x:f>Parametres_Paie!$B$7</x:f>
        <x:v>75000</x:v>
      </x:c>
      <x:c r="E79" s="64" t="str"/>
      <x:c r="F79" s="64" t="str"/>
      <x:c r="G79" s="66" t="n">
        <x:f>Lot_paie!T4</x:f>
        <x:v>0.02</x:v>
      </x:c>
      <x:c r="H79" s="64" t="n">
        <x:f>Lot_paie!AJ4</x:f>
        <x:v>0</x:v>
      </x:c>
    </x:row>
    <x:row r="80">
      <x:c r="A80" s="25" t="str">
        <x:v>914</x:v>
      </x:c>
      <x:c r="B80" s="25" t="str">
        <x:v>Assurance Maternité</x:v>
      </x:c>
      <x:c r="C80" s="25" t="str"/>
      <x:c r="D80" s="64" t="n">
        <x:f>Parametres_Paie!$B$7</x:f>
        <x:v>75000</x:v>
      </x:c>
      <x:c r="E80" s="64" t="str"/>
      <x:c r="F80" s="64" t="str"/>
      <x:c r="G80" s="66" t="n">
        <x:f>Parametres_Paie!$B$9</x:f>
        <x:v>0.0075</x:v>
      </x:c>
      <x:c r="H80" s="64" t="n">
        <x:f>Lot_paie!AK4</x:f>
        <x:v>0</x:v>
      </x:c>
    </x:row>
    <x:row r="81">
      <x:c r="A81" s="25" t="str">
        <x:v>924</x:v>
      </x:c>
      <x:c r="B81" s="25" t="str">
        <x:v>I.S. Employeur Local</x:v>
      </x:c>
      <x:c r="C81" s="25" t="str"/>
      <x:c r="D81" s="64" t="n">
        <x:f>Lot_paie!AA4</x:f>
        <x:v>0</x:v>
      </x:c>
      <x:c r="E81" s="64" t="str"/>
      <x:c r="F81" s="64" t="str"/>
      <x:c r="G81" s="66" t="n">
        <x:f>Parametres_Paie!$B$15</x:f>
        <x:v>0.012</x:v>
      </x:c>
      <x:c r="H81" s="64" t="n">
        <x:f>Lot_paie!AM4</x:f>
        <x:v>0</x:v>
      </x:c>
    </x:row>
    <x:row r="82">
      <x:c r="A82" s="25" t="str">
        <x:v>930</x:v>
      </x:c>
      <x:c r="B82" s="25" t="str">
        <x:v>Taxe d’Apprentissage</x:v>
      </x:c>
      <x:c r="C82" s="25" t="str"/>
      <x:c r="D82" s="64" t="n">
        <x:f>Lot_paie!AA4</x:f>
        <x:v>0</x:v>
      </x:c>
      <x:c r="E82" s="64" t="str"/>
      <x:c r="F82" s="64" t="str"/>
      <x:c r="G82" s="66" t="n">
        <x:f>Parametres_Paie!$B$16</x:f>
        <x:v>0.004</x:v>
      </x:c>
      <x:c r="H82" s="64" t="n">
        <x:f>Lot_paie!AN4</x:f>
        <x:v>0</x:v>
      </x:c>
    </x:row>
    <x:row r="83">
      <x:c r="A83" s="25" t="str">
        <x:v>931</x:v>
      </x:c>
      <x:c r="B83" s="25" t="str">
        <x:v>Taxe Formation Professionnelle Continue</x:v>
      </x:c>
      <x:c r="C83" s="25" t="str"/>
      <x:c r="D83" s="64" t="n">
        <x:f>Lot_paie!AA4</x:f>
        <x:v>0</x:v>
      </x:c>
      <x:c r="E83" s="64" t="str"/>
      <x:c r="F83" s="64" t="str"/>
      <x:c r="G83" s="66" t="n">
        <x:f>Parametres_Paie!$B$17</x:f>
        <x:v>0.006</x:v>
      </x:c>
      <x:c r="H83" s="64" t="n">
        <x:f>Lot_paie!AO4</x:f>
        <x:v>0</x:v>
      </x:c>
    </x:row>
    <x:row r="84">
      <x:c r="A84" s="25" t="str">
        <x:v>932</x:v>
      </x:c>
      <x:c r="B84" s="25" t="str">
        <x:v>Taxe FPC Fin d’année</x:v>
      </x:c>
      <x:c r="C84" s="25" t="str"/>
      <x:c r="D84" s="64" t="n">
        <x:f>Lot_paie!AA4</x:f>
        <x:v>0</x:v>
      </x:c>
      <x:c r="E84" s="64" t="str"/>
      <x:c r="F84" s="64" t="str"/>
      <x:c r="G84" s="66" t="n">
        <x:f>Parametres_Paie!$B$18</x:f>
        <x:v>0.006</x:v>
      </x:c>
      <x:c r="H84" s="64" t="n">
        <x:f>Lot_paie!AP4</x:f>
        <x:v>0</x:v>
      </x:c>
    </x:row>
    <x:row r="85">
      <x:c r="A85" s="25" t="str"/>
      <x:c r="B85" s="83" t="str">
        <x:v>Total retenues fiscales et sociales</x:v>
      </x:c>
      <x:c r="C85" s="83" t="str"/>
      <x:c r="D85" s="84" t="str"/>
      <x:c r="E85" s="84" t="str"/>
      <x:c r="F85" s="84" t="n">
        <x:f>Lot_paie!AG4</x:f>
        <x:v>0</x:v>
      </x:c>
      <x:c r="G85" s="85" t="str"/>
      <x:c r="H85" s="84" t="n">
        <x:f>Lot_paie!AQ4</x:f>
        <x:v>0</x:v>
      </x:c>
    </x:row>
    <x:row r="86">
      <x:c r="A86" s="25" t="str">
        <x:v>204</x:v>
      </x:c>
      <x:c r="B86" s="25" t="str">
        <x:v>Indemnité Transport N. Imposable</x:v>
      </x:c>
      <x:c r="C86" s="25" t="str">
        <x:v>30</x:v>
      </x:c>
      <x:c r="D86" s="64" t="n">
        <x:f>Lot_paie!Y4</x:f>
        <x:v>0</x:v>
      </x:c>
      <x:c r="E86" s="64" t="str"/>
      <x:c r="F86" s="64" t="n">
        <x:f>Lot_paie!Y4</x:f>
        <x:v>0</x:v>
      </x:c>
      <x:c r="G86" s="66" t="str"/>
      <x:c r="H86" s="64" t="str"/>
    </x:row>
    <x:row r="87">
      <x:c r="A87" s="25" t="str"/>
      <x:c r="B87" s="25" t="str">
        <x:v>Total gains non imposables</x:v>
      </x:c>
      <x:c r="C87" s="25" t="str"/>
      <x:c r="D87" s="64" t="str"/>
      <x:c r="E87" s="64" t="str"/>
      <x:c r="F87" s="64" t="n">
        <x:f>Lot_paie!AR4</x:f>
        <x:v>0</x:v>
      </x:c>
      <x:c r="G87" s="66" t="str"/>
      <x:c r="H87" s="64" t="str"/>
    </x:row>
    <x:row r="88">
      <x:c r="A88" s="25" t="str"/>
      <x:c r="B88" s="110" t="str">
        <x:v>NET À PAYER</x:v>
      </x:c>
      <x:c r="C88" s="110" t="str"/>
      <x:c r="D88" s="111" t="str"/>
      <x:c r="E88" s="111" t="str"/>
      <x:c r="F88" s="111" t="str"/>
      <x:c r="G88" s="112" t="str"/>
      <x:c r="H88" s="111" t="n">
        <x:f>Lot_paie!AT4</x:f>
        <x:v>0</x:v>
      </x:c>
    </x:row>
    <x:row r="89">
      <x:c r="A89" s="25"/>
      <x:c r="B89" s="25"/>
      <x:c r="C89" s="25"/>
      <x:c r="D89" s="25"/>
      <x:c r="E89" s="25"/>
      <x:c r="F89" s="25"/>
      <x:c r="G89" s="25"/>
      <x:c r="H89" s="25"/>
    </x:row>
    <x:row r="90">
      <x:c r="A90" s="25"/>
      <x:c r="B90" s="25"/>
      <x:c r="C90" s="25"/>
      <x:c r="D90" s="25"/>
      <x:c r="E90" s="25"/>
      <x:c r="F90" s="25"/>
      <x:c r="G90" s="25"/>
      <x:c r="H90" s="25"/>
    </x:row>
    <x:row r="91">
      <x:c r="A91" s="25"/>
      <x:c r="B91" s="25"/>
      <x:c r="C91" s="25"/>
      <x:c r="D91" s="25"/>
      <x:c r="E91" s="25"/>
      <x:c r="F91" s="25"/>
      <x:c r="G91" s="25"/>
      <x:c r="H91" s="25"/>
    </x:row>
    <x:row r="92">
      <x:c r="A92" s="25"/>
      <x:c r="B92" s="25"/>
      <x:c r="C92" s="25"/>
      <x:c r="D92" s="25"/>
      <x:c r="E92" s="25"/>
      <x:c r="F92" s="25"/>
      <x:c r="G92" s="25"/>
      <x:c r="H92" s="25"/>
    </x:row>
    <x:row r="93">
      <x:c r="A93" s="25"/>
      <x:c r="B93" s="25"/>
      <x:c r="C93" s="25"/>
      <x:c r="D93" s="25"/>
      <x:c r="E93" s="25"/>
      <x:c r="F93" s="25"/>
      <x:c r="G93" s="25"/>
      <x:c r="H93" s="25"/>
    </x:row>
    <x:row r="94">
      <x:c r="A94" s="25"/>
      <x:c r="B94" s="25"/>
      <x:c r="C94" s="25"/>
      <x:c r="D94" s="25"/>
      <x:c r="E94" s="25"/>
      <x:c r="F94" s="25"/>
      <x:c r="G94" s="25"/>
      <x:c r="H94" s="25"/>
    </x:row>
    <x:row r="95">
      <x:c r="A95" s="25"/>
      <x:c r="B95" s="25"/>
      <x:c r="C95" s="25"/>
      <x:c r="D95" s="25"/>
      <x:c r="E95" s="25"/>
      <x:c r="F95" s="25"/>
      <x:c r="G95" s="25"/>
      <x:c r="H95" s="25"/>
    </x:row>
    <x:row r="97">
      <x:c r="A97" s="108" t="str">
        <x:v>BULLETIN DE PAIE – AAEA / AfWASA</x:v>
      </x:c>
      <x:c r="B97" s="108"/>
      <x:c r="C97" s="108"/>
      <x:c r="D97" s="108"/>
      <x:c r="E97" s="108"/>
      <x:c r="F97" s="108"/>
      <x:c r="G97" s="108"/>
      <x:c r="H97" s="108"/>
    </x:row>
    <x:row r="98">
      <x:c r="A98" s="25" t="str">
        <x:v>Matricule</x:v>
      </x:c>
      <x:c r="B98" s="25" t="str">
        <x:f>Lot_paie!A5</x:f>
        <x:v>0009A</x:v>
      </x:c>
      <x:c r="C98" s="25" t="str">
        <x:v>Période</x:v>
      </x:c>
      <x:c r="D98" s="25" t="str">
        <x:f>Parametres_Paie!$B$26</x:f>
        <x:v>Janvier 2025</x:v>
      </x:c>
      <x:c r="E98" s="25" t="str">
        <x:v>Paiement</x:v>
      </x:c>
      <x:c r="F98" s="25" t="n">
        <x:f>Parametres_Paie!$B$25</x:f>
        <x:v>45688</x:v>
      </x:c>
      <x:c r="G98" s="25" t="str"/>
      <x:c r="H98" s="25" t="str"/>
    </x:row>
    <x:row r="99">
      <x:c r="A99" s="25" t="str">
        <x:v>Nom et prénom</x:v>
      </x:c>
      <x:c r="B99" s="25" t="str">
        <x:f>Lot_paie!B5&amp;" "&amp;Lot_paie!C5</x:f>
        <x:v>DIGBEU Aimé Kaloua</x:v>
      </x:c>
      <x:c r="C99" s="25" t="str">
        <x:v>Poste</x:v>
      </x:c>
      <x:c r="D99" s="25" t="str">
        <x:f>Lot_paie!F5</x:f>
        <x:v>Responsable Exposition</x:v>
      </x:c>
      <x:c r="E99" s="25" t="str">
        <x:v>CNPS</x:v>
      </x:c>
      <x:c r="F99" s="25" t="n">
        <x:f>Lot_paie!J5</x:f>
        <x:v>167019400391</x:v>
      </x:c>
      <x:c r="G99" s="25" t="str"/>
      <x:c r="H99" s="25" t="str"/>
    </x:row>
    <x:row r="100">
      <x:c r="A100" s="25" t="str">
        <x:v>Direction</x:v>
      </x:c>
      <x:c r="B100" s="25" t="str">
        <x:f>Lot_paie!D5</x:f>
        <x:v>Direction des Services aux Membres et des Programmes</x:v>
      </x:c>
      <x:c r="C100" s="25" t="str">
        <x:v>Date entrée</x:v>
      </x:c>
      <x:c r="D100" s="25" t="n">
        <x:f>Lot_paie!I5</x:f>
        <x:v>39264</x:v>
      </x:c>
      <x:c r="E100" s="25" t="str">
        <x:v>Ancienneté</x:v>
      </x:c>
      <x:c r="F100" s="25" t="str">
        <x:f>Lot_paie!V5</x:f>
        <x:v>17 ans (calcul période)</x:v>
      </x:c>
      <x:c r="G100" s="25" t="str"/>
      <x:c r="H100" s="25" t="str"/>
    </x:row>
    <x:row r="101">
      <x:c r="A101" s="25"/>
      <x:c r="B101" s="25"/>
      <x:c r="C101" s="25"/>
      <x:c r="D101" s="25"/>
      <x:c r="E101" s="25"/>
      <x:c r="F101" s="25"/>
      <x:c r="G101" s="25"/>
      <x:c r="H101" s="25"/>
    </x:row>
    <x:row r="102">
      <x:c r="A102" s="14" t="str">
        <x:v>N°</x:v>
      </x:c>
      <x:c r="B102" s="14" t="str">
        <x:v>Désignation</x:v>
      </x:c>
      <x:c r="C102" s="14" t="str">
        <x:v>Nombre</x:v>
      </x:c>
      <x:c r="D102" s="14" t="str">
        <x:v>Base</x:v>
      </x:c>
      <x:c r="E102" s="14" t="str">
        <x:v>Taux Sal.</x:v>
      </x:c>
      <x:c r="F102" s="14" t="str">
        <x:v>Ret. Sal.</x:v>
      </x:c>
      <x:c r="G102" s="14" t="str">
        <x:v>Taux Pat.</x:v>
      </x:c>
      <x:c r="H102" s="14" t="str">
        <x:v>Ret. Pat.</x:v>
      </x:c>
    </x:row>
    <x:row r="103">
      <x:c r="A103" s="25" t="str">
        <x:v>100</x:v>
      </x:c>
      <x:c r="B103" s="25" t="str">
        <x:v>Salaire de base</x:v>
      </x:c>
      <x:c r="C103" s="25" t="str">
        <x:v>30</x:v>
      </x:c>
      <x:c r="D103" s="64" t="n">
        <x:f>Lot_paie!K5</x:f>
        <x:v>0</x:v>
      </x:c>
      <x:c r="E103" s="64" t="str"/>
      <x:c r="F103" s="64" t="str"/>
      <x:c r="G103" s="64" t="str"/>
      <x:c r="H103" s="64" t="str"/>
    </x:row>
    <x:row r="104">
      <x:c r="A104" s="25" t="str">
        <x:v>110</x:v>
      </x:c>
      <x:c r="B104" s="25" t="str">
        <x:v>Sursalaire</x:v>
      </x:c>
      <x:c r="C104" s="25" t="str">
        <x:v>30</x:v>
      </x:c>
      <x:c r="D104" s="64" t="n">
        <x:f>Lot_paie!L5</x:f>
        <x:v>0</x:v>
      </x:c>
      <x:c r="E104" s="64" t="str"/>
      <x:c r="F104" s="64" t="str"/>
      <x:c r="G104" s="64" t="str"/>
      <x:c r="H104" s="64" t="str"/>
    </x:row>
    <x:row r="105">
      <x:c r="A105" s="25" t="str">
        <x:v>120</x:v>
      </x:c>
      <x:c r="B105" s="25" t="str">
        <x:v>Prime ancienneté</x:v>
      </x:c>
      <x:c r="C105" s="25" t="n">
        <x:f>Lot_paie!U5</x:f>
        <x:v>17</x:v>
      </x:c>
      <x:c r="D105" s="64" t="n">
        <x:f>Lot_paie!X5</x:f>
        <x:v>0</x:v>
      </x:c>
      <x:c r="E105" s="64" t="str"/>
      <x:c r="F105" s="64" t="str"/>
      <x:c r="G105" s="64" t="str"/>
      <x:c r="H105" s="64" t="str"/>
    </x:row>
    <x:row r="106">
      <x:c r="A106" s="25" t="str"/>
      <x:c r="B106" s="24" t="str">
        <x:v>Total brut imposable</x:v>
      </x:c>
      <x:c r="C106" s="24" t="str"/>
      <x:c r="D106" s="76" t="str"/>
      <x:c r="E106" s="76" t="str"/>
      <x:c r="F106" s="76" t="n">
        <x:f>Lot_paie!AA5</x:f>
        <x:v>0</x:v>
      </x:c>
      <x:c r="G106" s="76" t="str"/>
      <x:c r="H106" s="76" t="str"/>
    </x:row>
    <x:row r="107">
      <x:c r="A107" s="25" t="str">
        <x:v>810</x:v>
      </x:c>
      <x:c r="B107" s="25" t="str">
        <x:v>C.N.P.S.</x:v>
      </x:c>
      <x:c r="C107" s="25" t="str"/>
      <x:c r="D107" s="64" t="n">
        <x:f>Lot_paie!AB5</x:f>
        <x:v>0</x:v>
      </x:c>
      <x:c r="E107" s="66" t="n">
        <x:f>Parametres_Paie!$B$4</x:f>
        <x:v>0.063</x:v>
      </x:c>
      <x:c r="F107" s="64" t="n">
        <x:f>Lot_paie!AC5</x:f>
        <x:v>0</x:v>
      </x:c>
      <x:c r="G107" s="66" t="n">
        <x:f>Parametres_Paie!$B$5</x:f>
        <x:v>0.077</x:v>
      </x:c>
      <x:c r="H107" s="64" t="n">
        <x:f>Lot_paie!AH5</x:f>
        <x:v>0</x:v>
      </x:c>
    </x:row>
    <x:row r="108">
      <x:c r="A108" s="25" t="str">
        <x:v>815</x:v>
      </x:c>
      <x:c r="B108" s="25" t="str">
        <x:v>Retenue CMU employé</x:v>
      </x:c>
      <x:c r="C108" s="25" t="str"/>
      <x:c r="D108" s="64" t="n">
        <x:f>Lot_paie!AD5</x:f>
        <x:v>0</x:v>
      </x:c>
      <x:c r="E108" s="64" t="str"/>
      <x:c r="F108" s="64" t="n">
        <x:f>Lot_paie!AD5</x:f>
        <x:v>0</x:v>
      </x:c>
      <x:c r="G108" s="66" t="str"/>
      <x:c r="H108" s="64" t="n">
        <x:f>Lot_paie!AL5</x:f>
        <x:v>0</x:v>
      </x:c>
    </x:row>
    <x:row r="109">
      <x:c r="A109" s="25" t="str">
        <x:v>860</x:v>
      </x:c>
      <x:c r="B109" s="25" t="str">
        <x:v>I.T.S</x:v>
      </x:c>
      <x:c r="C109" s="25" t="str"/>
      <x:c r="D109" s="64" t="n">
        <x:f>Lot_paie!AA5</x:f>
        <x:v>0</x:v>
      </x:c>
      <x:c r="E109" s="64" t="str"/>
      <x:c r="F109" s="64" t="n">
        <x:f>Lot_paie!AF5</x:f>
        <x:v>0</x:v>
      </x:c>
      <x:c r="G109" s="66" t="str"/>
      <x:c r="H109" s="64" t="str"/>
    </x:row>
    <x:row r="110">
      <x:c r="A110" s="25" t="str">
        <x:v>912</x:v>
      </x:c>
      <x:c r="B110" s="25" t="str">
        <x:v>Prestation Familiale</x:v>
      </x:c>
      <x:c r="C110" s="25" t="str"/>
      <x:c r="D110" s="64" t="n">
        <x:f>Parametres_Paie!$B$7</x:f>
        <x:v>75000</x:v>
      </x:c>
      <x:c r="E110" s="64" t="str"/>
      <x:c r="F110" s="64" t="str"/>
      <x:c r="G110" s="66" t="n">
        <x:f>Parametres_Paie!$B$8</x:f>
        <x:v>0.05</x:v>
      </x:c>
      <x:c r="H110" s="64" t="n">
        <x:f>Lot_paie!AI5</x:f>
        <x:v>0</x:v>
      </x:c>
    </x:row>
    <x:row r="111">
      <x:c r="A111" s="25" t="str">
        <x:v>913</x:v>
      </x:c>
      <x:c r="B111" s="25" t="str">
        <x:v>Accident de Travail</x:v>
      </x:c>
      <x:c r="C111" s="25" t="str"/>
      <x:c r="D111" s="64" t="n">
        <x:f>Parametres_Paie!$B$7</x:f>
        <x:v>75000</x:v>
      </x:c>
      <x:c r="E111" s="64" t="str"/>
      <x:c r="F111" s="64" t="str"/>
      <x:c r="G111" s="66" t="n">
        <x:f>Lot_paie!T5</x:f>
        <x:v>0.02</x:v>
      </x:c>
      <x:c r="H111" s="64" t="n">
        <x:f>Lot_paie!AJ5</x:f>
        <x:v>0</x:v>
      </x:c>
    </x:row>
    <x:row r="112">
      <x:c r="A112" s="25" t="str">
        <x:v>914</x:v>
      </x:c>
      <x:c r="B112" s="25" t="str">
        <x:v>Assurance Maternité</x:v>
      </x:c>
      <x:c r="C112" s="25" t="str"/>
      <x:c r="D112" s="64" t="n">
        <x:f>Parametres_Paie!$B$7</x:f>
        <x:v>75000</x:v>
      </x:c>
      <x:c r="E112" s="64" t="str"/>
      <x:c r="F112" s="64" t="str"/>
      <x:c r="G112" s="66" t="n">
        <x:f>Parametres_Paie!$B$9</x:f>
        <x:v>0.0075</x:v>
      </x:c>
      <x:c r="H112" s="64" t="n">
        <x:f>Lot_paie!AK5</x:f>
        <x:v>0</x:v>
      </x:c>
    </x:row>
    <x:row r="113">
      <x:c r="A113" s="25" t="str">
        <x:v>924</x:v>
      </x:c>
      <x:c r="B113" s="25" t="str">
        <x:v>I.S. Employeur Local</x:v>
      </x:c>
      <x:c r="C113" s="25" t="str"/>
      <x:c r="D113" s="64" t="n">
        <x:f>Lot_paie!AA5</x:f>
        <x:v>0</x:v>
      </x:c>
      <x:c r="E113" s="64" t="str"/>
      <x:c r="F113" s="64" t="str"/>
      <x:c r="G113" s="66" t="n">
        <x:f>Parametres_Paie!$B$15</x:f>
        <x:v>0.012</x:v>
      </x:c>
      <x:c r="H113" s="64" t="n">
        <x:f>Lot_paie!AM5</x:f>
        <x:v>0</x:v>
      </x:c>
    </x:row>
    <x:row r="114">
      <x:c r="A114" s="25" t="str">
        <x:v>930</x:v>
      </x:c>
      <x:c r="B114" s="25" t="str">
        <x:v>Taxe d’Apprentissage</x:v>
      </x:c>
      <x:c r="C114" s="25" t="str"/>
      <x:c r="D114" s="64" t="n">
        <x:f>Lot_paie!AA5</x:f>
        <x:v>0</x:v>
      </x:c>
      <x:c r="E114" s="64" t="str"/>
      <x:c r="F114" s="64" t="str"/>
      <x:c r="G114" s="66" t="n">
        <x:f>Parametres_Paie!$B$16</x:f>
        <x:v>0.004</x:v>
      </x:c>
      <x:c r="H114" s="64" t="n">
        <x:f>Lot_paie!AN5</x:f>
        <x:v>0</x:v>
      </x:c>
    </x:row>
    <x:row r="115">
      <x:c r="A115" s="25" t="str">
        <x:v>931</x:v>
      </x:c>
      <x:c r="B115" s="25" t="str">
        <x:v>Taxe Formation Professionnelle Continue</x:v>
      </x:c>
      <x:c r="C115" s="25" t="str"/>
      <x:c r="D115" s="64" t="n">
        <x:f>Lot_paie!AA5</x:f>
        <x:v>0</x:v>
      </x:c>
      <x:c r="E115" s="64" t="str"/>
      <x:c r="F115" s="64" t="str"/>
      <x:c r="G115" s="66" t="n">
        <x:f>Parametres_Paie!$B$17</x:f>
        <x:v>0.006</x:v>
      </x:c>
      <x:c r="H115" s="64" t="n">
        <x:f>Lot_paie!AO5</x:f>
        <x:v>0</x:v>
      </x:c>
    </x:row>
    <x:row r="116">
      <x:c r="A116" s="25" t="str">
        <x:v>932</x:v>
      </x:c>
      <x:c r="B116" s="25" t="str">
        <x:v>Taxe FPC Fin d’année</x:v>
      </x:c>
      <x:c r="C116" s="25" t="str"/>
      <x:c r="D116" s="64" t="n">
        <x:f>Lot_paie!AA5</x:f>
        <x:v>0</x:v>
      </x:c>
      <x:c r="E116" s="64" t="str"/>
      <x:c r="F116" s="64" t="str"/>
      <x:c r="G116" s="66" t="n">
        <x:f>Parametres_Paie!$B$18</x:f>
        <x:v>0.006</x:v>
      </x:c>
      <x:c r="H116" s="64" t="n">
        <x:f>Lot_paie!AP5</x:f>
        <x:v>0</x:v>
      </x:c>
    </x:row>
    <x:row r="117">
      <x:c r="A117" s="25" t="str"/>
      <x:c r="B117" s="83" t="str">
        <x:v>Total retenues fiscales et sociales</x:v>
      </x:c>
      <x:c r="C117" s="83" t="str"/>
      <x:c r="D117" s="84" t="str"/>
      <x:c r="E117" s="84" t="str"/>
      <x:c r="F117" s="84" t="n">
        <x:f>Lot_paie!AG5</x:f>
        <x:v>0</x:v>
      </x:c>
      <x:c r="G117" s="85" t="str"/>
      <x:c r="H117" s="84" t="n">
        <x:f>Lot_paie!AQ5</x:f>
        <x:v>0</x:v>
      </x:c>
    </x:row>
    <x:row r="118">
      <x:c r="A118" s="25" t="str">
        <x:v>204</x:v>
      </x:c>
      <x:c r="B118" s="25" t="str">
        <x:v>Indemnité Transport N. Imposable</x:v>
      </x:c>
      <x:c r="C118" s="25" t="str">
        <x:v>30</x:v>
      </x:c>
      <x:c r="D118" s="64" t="n">
        <x:f>Lot_paie!Y5</x:f>
        <x:v>0</x:v>
      </x:c>
      <x:c r="E118" s="64" t="str"/>
      <x:c r="F118" s="64" t="n">
        <x:f>Lot_paie!Y5</x:f>
        <x:v>0</x:v>
      </x:c>
      <x:c r="G118" s="66" t="str"/>
      <x:c r="H118" s="64" t="str"/>
    </x:row>
    <x:row r="119">
      <x:c r="A119" s="25" t="str"/>
      <x:c r="B119" s="25" t="str">
        <x:v>Total gains non imposables</x:v>
      </x:c>
      <x:c r="C119" s="25" t="str"/>
      <x:c r="D119" s="64" t="str"/>
      <x:c r="E119" s="64" t="str"/>
      <x:c r="F119" s="64" t="n">
        <x:f>Lot_paie!AR5</x:f>
        <x:v>0</x:v>
      </x:c>
      <x:c r="G119" s="66" t="str"/>
      <x:c r="H119" s="64" t="str"/>
    </x:row>
    <x:row r="120">
      <x:c r="A120" s="25" t="str"/>
      <x:c r="B120" s="110" t="str">
        <x:v>NET À PAYER</x:v>
      </x:c>
      <x:c r="C120" s="110" t="str"/>
      <x:c r="D120" s="111" t="str"/>
      <x:c r="E120" s="111" t="str"/>
      <x:c r="F120" s="111" t="str"/>
      <x:c r="G120" s="112" t="str"/>
      <x:c r="H120" s="111" t="n">
        <x:f>Lot_paie!AT5</x:f>
        <x:v>0</x:v>
      </x:c>
    </x:row>
    <x:row r="121">
      <x:c r="A121" s="25"/>
      <x:c r="B121" s="25"/>
      <x:c r="C121" s="25"/>
      <x:c r="D121" s="25"/>
      <x:c r="E121" s="25"/>
      <x:c r="F121" s="25"/>
      <x:c r="G121" s="25"/>
      <x:c r="H121" s="25"/>
    </x:row>
    <x:row r="122">
      <x:c r="A122" s="25"/>
      <x:c r="B122" s="25"/>
      <x:c r="C122" s="25"/>
      <x:c r="D122" s="25"/>
      <x:c r="E122" s="25"/>
      <x:c r="F122" s="25"/>
      <x:c r="G122" s="25"/>
      <x:c r="H122" s="25"/>
    </x:row>
    <x:row r="123">
      <x:c r="A123" s="25"/>
      <x:c r="B123" s="25"/>
      <x:c r="C123" s="25"/>
      <x:c r="D123" s="25"/>
      <x:c r="E123" s="25"/>
      <x:c r="F123" s="25"/>
      <x:c r="G123" s="25"/>
      <x:c r="H123" s="25"/>
    </x:row>
    <x:row r="124">
      <x:c r="A124" s="25"/>
      <x:c r="B124" s="25"/>
      <x:c r="C124" s="25"/>
      <x:c r="D124" s="25"/>
      <x:c r="E124" s="25"/>
      <x:c r="F124" s="25"/>
      <x:c r="G124" s="25"/>
      <x:c r="H124" s="25"/>
    </x:row>
    <x:row r="125">
      <x:c r="A125" s="25"/>
      <x:c r="B125" s="25"/>
      <x:c r="C125" s="25"/>
      <x:c r="D125" s="25"/>
      <x:c r="E125" s="25"/>
      <x:c r="F125" s="25"/>
      <x:c r="G125" s="25"/>
      <x:c r="H125" s="25"/>
    </x:row>
    <x:row r="126">
      <x:c r="A126" s="25"/>
      <x:c r="B126" s="25"/>
      <x:c r="C126" s="25"/>
      <x:c r="D126" s="25"/>
      <x:c r="E126" s="25"/>
      <x:c r="F126" s="25"/>
      <x:c r="G126" s="25"/>
      <x:c r="H126" s="25"/>
    </x:row>
    <x:row r="127">
      <x:c r="A127" s="25"/>
      <x:c r="B127" s="25"/>
      <x:c r="C127" s="25"/>
      <x:c r="D127" s="25"/>
      <x:c r="E127" s="25"/>
      <x:c r="F127" s="25"/>
      <x:c r="G127" s="25"/>
      <x:c r="H127" s="25"/>
    </x:row>
    <x:row r="129">
      <x:c r="A129" s="108" t="str">
        <x:v>BULLETIN DE PAIE – AAEA / AfWASA</x:v>
      </x:c>
      <x:c r="B129" s="108"/>
      <x:c r="C129" s="108"/>
      <x:c r="D129" s="108"/>
      <x:c r="E129" s="108"/>
      <x:c r="F129" s="108"/>
      <x:c r="G129" s="108"/>
      <x:c r="H129" s="108"/>
    </x:row>
    <x:row r="130">
      <x:c r="A130" s="25" t="str">
        <x:v>Matricule</x:v>
      </x:c>
      <x:c r="B130" s="25" t="str">
        <x:f>Lot_paie!A6</x:f>
        <x:v>0010H</x:v>
      </x:c>
      <x:c r="C130" s="25" t="str">
        <x:v>Période</x:v>
      </x:c>
      <x:c r="D130" s="25" t="str">
        <x:f>Parametres_Paie!$B$26</x:f>
        <x:v>Janvier 2025</x:v>
      </x:c>
      <x:c r="E130" s="25" t="str">
        <x:v>Paiement</x:v>
      </x:c>
      <x:c r="F130" s="25" t="n">
        <x:f>Parametres_Paie!$B$25</x:f>
        <x:v>45688</x:v>
      </x:c>
      <x:c r="G130" s="25" t="str"/>
      <x:c r="H130" s="25" t="str"/>
    </x:row>
    <x:row r="131">
      <x:c r="A131" s="25" t="str">
        <x:v>Nom et prénom</x:v>
      </x:c>
      <x:c r="B131" s="25" t="str">
        <x:f>Lot_paie!B6&amp;" "&amp;Lot_paie!C6</x:f>
        <x:v>ASSIENIN Aya Corine Sylvie</x:v>
      </x:c>
      <x:c r="C131" s="25" t="str">
        <x:v>Poste</x:v>
      </x:c>
      <x:c r="D131" s="25" t="str">
        <x:f>Lot_paie!F6</x:f>
        <x:v>Assistante Ressources Humaines</x:v>
      </x:c>
      <x:c r="E131" s="25" t="str">
        <x:v>CNPS</x:v>
      </x:c>
      <x:c r="F131" s="25" t="n">
        <x:f>Lot_paie!J6</x:f>
        <x:v>279010525990</x:v>
      </x:c>
      <x:c r="G131" s="25" t="str"/>
      <x:c r="H131" s="25" t="str"/>
    </x:row>
    <x:row r="132">
      <x:c r="A132" s="25" t="str">
        <x:v>Direction</x:v>
      </x:c>
      <x:c r="B132" s="25" t="str">
        <x:f>Lot_paie!D6</x:f>
        <x:v>Direction Administrative et Financière</x:v>
      </x:c>
      <x:c r="C132" s="25" t="str">
        <x:v>Date entrée</x:v>
      </x:c>
      <x:c r="D132" s="25" t="n">
        <x:f>Lot_paie!I6</x:f>
        <x:v>38169</x:v>
      </x:c>
      <x:c r="E132" s="25" t="str">
        <x:v>Ancienneté</x:v>
      </x:c>
      <x:c r="F132" s="25" t="str">
        <x:f>Lot_paie!V6</x:f>
        <x:v>20 ans (calcul période)</x:v>
      </x:c>
      <x:c r="G132" s="25" t="str"/>
      <x:c r="H132" s="25" t="str"/>
    </x:row>
    <x:row r="133">
      <x:c r="A133" s="25"/>
      <x:c r="B133" s="25"/>
      <x:c r="C133" s="25"/>
      <x:c r="D133" s="25"/>
      <x:c r="E133" s="25"/>
      <x:c r="F133" s="25"/>
      <x:c r="G133" s="25"/>
      <x:c r="H133" s="25"/>
    </x:row>
    <x:row r="134">
      <x:c r="A134" s="14" t="str">
        <x:v>N°</x:v>
      </x:c>
      <x:c r="B134" s="14" t="str">
        <x:v>Désignation</x:v>
      </x:c>
      <x:c r="C134" s="14" t="str">
        <x:v>Nombre</x:v>
      </x:c>
      <x:c r="D134" s="14" t="str">
        <x:v>Base</x:v>
      </x:c>
      <x:c r="E134" s="14" t="str">
        <x:v>Taux Sal.</x:v>
      </x:c>
      <x:c r="F134" s="14" t="str">
        <x:v>Ret. Sal.</x:v>
      </x:c>
      <x:c r="G134" s="14" t="str">
        <x:v>Taux Pat.</x:v>
      </x:c>
      <x:c r="H134" s="14" t="str">
        <x:v>Ret. Pat.</x:v>
      </x:c>
    </x:row>
    <x:row r="135">
      <x:c r="A135" s="25" t="str">
        <x:v>100</x:v>
      </x:c>
      <x:c r="B135" s="25" t="str">
        <x:v>Salaire de base</x:v>
      </x:c>
      <x:c r="C135" s="25" t="str">
        <x:v>30</x:v>
      </x:c>
      <x:c r="D135" s="64" t="n">
        <x:f>Lot_paie!K6</x:f>
        <x:v>0</x:v>
      </x:c>
      <x:c r="E135" s="64" t="str"/>
      <x:c r="F135" s="64" t="str"/>
      <x:c r="G135" s="64" t="str"/>
      <x:c r="H135" s="64" t="str"/>
    </x:row>
    <x:row r="136">
      <x:c r="A136" s="25" t="str">
        <x:v>110</x:v>
      </x:c>
      <x:c r="B136" s="25" t="str">
        <x:v>Sursalaire</x:v>
      </x:c>
      <x:c r="C136" s="25" t="str">
        <x:v>30</x:v>
      </x:c>
      <x:c r="D136" s="64" t="n">
        <x:f>Lot_paie!L6</x:f>
        <x:v>0</x:v>
      </x:c>
      <x:c r="E136" s="64" t="str"/>
      <x:c r="F136" s="64" t="str"/>
      <x:c r="G136" s="64" t="str"/>
      <x:c r="H136" s="64" t="str"/>
    </x:row>
    <x:row r="137">
      <x:c r="A137" s="25" t="str">
        <x:v>120</x:v>
      </x:c>
      <x:c r="B137" s="25" t="str">
        <x:v>Prime ancienneté</x:v>
      </x:c>
      <x:c r="C137" s="25" t="n">
        <x:f>Lot_paie!U6</x:f>
        <x:v>20</x:v>
      </x:c>
      <x:c r="D137" s="64" t="n">
        <x:f>Lot_paie!X6</x:f>
        <x:v>0</x:v>
      </x:c>
      <x:c r="E137" s="64" t="str"/>
      <x:c r="F137" s="64" t="str"/>
      <x:c r="G137" s="64" t="str"/>
      <x:c r="H137" s="64" t="str"/>
    </x:row>
    <x:row r="138">
      <x:c r="A138" s="25" t="str"/>
      <x:c r="B138" s="24" t="str">
        <x:v>Total brut imposable</x:v>
      </x:c>
      <x:c r="C138" s="24" t="str"/>
      <x:c r="D138" s="76" t="str"/>
      <x:c r="E138" s="76" t="str"/>
      <x:c r="F138" s="76" t="n">
        <x:f>Lot_paie!AA6</x:f>
        <x:v>0</x:v>
      </x:c>
      <x:c r="G138" s="76" t="str"/>
      <x:c r="H138" s="76" t="str"/>
    </x:row>
    <x:row r="139">
      <x:c r="A139" s="25" t="str">
        <x:v>810</x:v>
      </x:c>
      <x:c r="B139" s="25" t="str">
        <x:v>C.N.P.S.</x:v>
      </x:c>
      <x:c r="C139" s="25" t="str"/>
      <x:c r="D139" s="64" t="n">
        <x:f>Lot_paie!AB6</x:f>
        <x:v>0</x:v>
      </x:c>
      <x:c r="E139" s="66" t="n">
        <x:f>Parametres_Paie!$B$4</x:f>
        <x:v>0.063</x:v>
      </x:c>
      <x:c r="F139" s="64" t="n">
        <x:f>Lot_paie!AC6</x:f>
        <x:v>0</x:v>
      </x:c>
      <x:c r="G139" s="66" t="n">
        <x:f>Parametres_Paie!$B$5</x:f>
        <x:v>0.077</x:v>
      </x:c>
      <x:c r="H139" s="64" t="n">
        <x:f>Lot_paie!AH6</x:f>
        <x:v>0</x:v>
      </x:c>
    </x:row>
    <x:row r="140">
      <x:c r="A140" s="25" t="str">
        <x:v>815</x:v>
      </x:c>
      <x:c r="B140" s="25" t="str">
        <x:v>Retenue CMU employé</x:v>
      </x:c>
      <x:c r="C140" s="25" t="str"/>
      <x:c r="D140" s="64" t="n">
        <x:f>Lot_paie!AD6</x:f>
        <x:v>0</x:v>
      </x:c>
      <x:c r="E140" s="64" t="str"/>
      <x:c r="F140" s="64" t="n">
        <x:f>Lot_paie!AD6</x:f>
        <x:v>0</x:v>
      </x:c>
      <x:c r="G140" s="66" t="str"/>
      <x:c r="H140" s="64" t="n">
        <x:f>Lot_paie!AL6</x:f>
        <x:v>0</x:v>
      </x:c>
    </x:row>
    <x:row r="141">
      <x:c r="A141" s="25" t="str">
        <x:v>860</x:v>
      </x:c>
      <x:c r="B141" s="25" t="str">
        <x:v>I.T.S</x:v>
      </x:c>
      <x:c r="C141" s="25" t="str"/>
      <x:c r="D141" s="64" t="n">
        <x:f>Lot_paie!AA6</x:f>
        <x:v>0</x:v>
      </x:c>
      <x:c r="E141" s="64" t="str"/>
      <x:c r="F141" s="64" t="n">
        <x:f>Lot_paie!AF6</x:f>
        <x:v>0</x:v>
      </x:c>
      <x:c r="G141" s="66" t="str"/>
      <x:c r="H141" s="64" t="str"/>
    </x:row>
    <x:row r="142">
      <x:c r="A142" s="25" t="str">
        <x:v>912</x:v>
      </x:c>
      <x:c r="B142" s="25" t="str">
        <x:v>Prestation Familiale</x:v>
      </x:c>
      <x:c r="C142" s="25" t="str"/>
      <x:c r="D142" s="64" t="n">
        <x:f>Parametres_Paie!$B$7</x:f>
        <x:v>75000</x:v>
      </x:c>
      <x:c r="E142" s="64" t="str"/>
      <x:c r="F142" s="64" t="str"/>
      <x:c r="G142" s="66" t="n">
        <x:f>Parametres_Paie!$B$8</x:f>
        <x:v>0.05</x:v>
      </x:c>
      <x:c r="H142" s="64" t="n">
        <x:f>Lot_paie!AI6</x:f>
        <x:v>0</x:v>
      </x:c>
    </x:row>
    <x:row r="143">
      <x:c r="A143" s="25" t="str">
        <x:v>913</x:v>
      </x:c>
      <x:c r="B143" s="25" t="str">
        <x:v>Accident de Travail</x:v>
      </x:c>
      <x:c r="C143" s="25" t="str"/>
      <x:c r="D143" s="64" t="n">
        <x:f>Parametres_Paie!$B$7</x:f>
        <x:v>75000</x:v>
      </x:c>
      <x:c r="E143" s="64" t="str"/>
      <x:c r="F143" s="64" t="str"/>
      <x:c r="G143" s="66" t="n">
        <x:f>Lot_paie!T6</x:f>
        <x:v>0.02</x:v>
      </x:c>
      <x:c r="H143" s="64" t="n">
        <x:f>Lot_paie!AJ6</x:f>
        <x:v>0</x:v>
      </x:c>
    </x:row>
    <x:row r="144">
      <x:c r="A144" s="25" t="str">
        <x:v>914</x:v>
      </x:c>
      <x:c r="B144" s="25" t="str">
        <x:v>Assurance Maternité</x:v>
      </x:c>
      <x:c r="C144" s="25" t="str"/>
      <x:c r="D144" s="64" t="n">
        <x:f>Parametres_Paie!$B$7</x:f>
        <x:v>75000</x:v>
      </x:c>
      <x:c r="E144" s="64" t="str"/>
      <x:c r="F144" s="64" t="str"/>
      <x:c r="G144" s="66" t="n">
        <x:f>Parametres_Paie!$B$9</x:f>
        <x:v>0.0075</x:v>
      </x:c>
      <x:c r="H144" s="64" t="n">
        <x:f>Lot_paie!AK6</x:f>
        <x:v>0</x:v>
      </x:c>
    </x:row>
    <x:row r="145">
      <x:c r="A145" s="25" t="str">
        <x:v>924</x:v>
      </x:c>
      <x:c r="B145" s="25" t="str">
        <x:v>I.S. Employeur Local</x:v>
      </x:c>
      <x:c r="C145" s="25" t="str"/>
      <x:c r="D145" s="64" t="n">
        <x:f>Lot_paie!AA6</x:f>
        <x:v>0</x:v>
      </x:c>
      <x:c r="E145" s="64" t="str"/>
      <x:c r="F145" s="64" t="str"/>
      <x:c r="G145" s="66" t="n">
        <x:f>Parametres_Paie!$B$15</x:f>
        <x:v>0.012</x:v>
      </x:c>
      <x:c r="H145" s="64" t="n">
        <x:f>Lot_paie!AM6</x:f>
        <x:v>0</x:v>
      </x:c>
    </x:row>
    <x:row r="146">
      <x:c r="A146" s="25" t="str">
        <x:v>930</x:v>
      </x:c>
      <x:c r="B146" s="25" t="str">
        <x:v>Taxe d’Apprentissage</x:v>
      </x:c>
      <x:c r="C146" s="25" t="str"/>
      <x:c r="D146" s="64" t="n">
        <x:f>Lot_paie!AA6</x:f>
        <x:v>0</x:v>
      </x:c>
      <x:c r="E146" s="64" t="str"/>
      <x:c r="F146" s="64" t="str"/>
      <x:c r="G146" s="66" t="n">
        <x:f>Parametres_Paie!$B$16</x:f>
        <x:v>0.004</x:v>
      </x:c>
      <x:c r="H146" s="64" t="n">
        <x:f>Lot_paie!AN6</x:f>
        <x:v>0</x:v>
      </x:c>
    </x:row>
    <x:row r="147">
      <x:c r="A147" s="25" t="str">
        <x:v>931</x:v>
      </x:c>
      <x:c r="B147" s="25" t="str">
        <x:v>Taxe Formation Professionnelle Continue</x:v>
      </x:c>
      <x:c r="C147" s="25" t="str"/>
      <x:c r="D147" s="64" t="n">
        <x:f>Lot_paie!AA6</x:f>
        <x:v>0</x:v>
      </x:c>
      <x:c r="E147" s="64" t="str"/>
      <x:c r="F147" s="64" t="str"/>
      <x:c r="G147" s="66" t="n">
        <x:f>Parametres_Paie!$B$17</x:f>
        <x:v>0.006</x:v>
      </x:c>
      <x:c r="H147" s="64" t="n">
        <x:f>Lot_paie!AO6</x:f>
        <x:v>0</x:v>
      </x:c>
    </x:row>
    <x:row r="148">
      <x:c r="A148" s="25" t="str">
        <x:v>932</x:v>
      </x:c>
      <x:c r="B148" s="25" t="str">
        <x:v>Taxe FPC Fin d’année</x:v>
      </x:c>
      <x:c r="C148" s="25" t="str"/>
      <x:c r="D148" s="64" t="n">
        <x:f>Lot_paie!AA6</x:f>
        <x:v>0</x:v>
      </x:c>
      <x:c r="E148" s="64" t="str"/>
      <x:c r="F148" s="64" t="str"/>
      <x:c r="G148" s="66" t="n">
        <x:f>Parametres_Paie!$B$18</x:f>
        <x:v>0.006</x:v>
      </x:c>
      <x:c r="H148" s="64" t="n">
        <x:f>Lot_paie!AP6</x:f>
        <x:v>0</x:v>
      </x:c>
    </x:row>
    <x:row r="149">
      <x:c r="A149" s="25" t="str"/>
      <x:c r="B149" s="83" t="str">
        <x:v>Total retenues fiscales et sociales</x:v>
      </x:c>
      <x:c r="C149" s="83" t="str"/>
      <x:c r="D149" s="84" t="str"/>
      <x:c r="E149" s="84" t="str"/>
      <x:c r="F149" s="84" t="n">
        <x:f>Lot_paie!AG6</x:f>
        <x:v>0</x:v>
      </x:c>
      <x:c r="G149" s="85" t="str"/>
      <x:c r="H149" s="84" t="n">
        <x:f>Lot_paie!AQ6</x:f>
        <x:v>0</x:v>
      </x:c>
    </x:row>
    <x:row r="150">
      <x:c r="A150" s="25" t="str">
        <x:v>204</x:v>
      </x:c>
      <x:c r="B150" s="25" t="str">
        <x:v>Indemnité Transport N. Imposable</x:v>
      </x:c>
      <x:c r="C150" s="25" t="str">
        <x:v>30</x:v>
      </x:c>
      <x:c r="D150" s="64" t="n">
        <x:f>Lot_paie!Y6</x:f>
        <x:v>0</x:v>
      </x:c>
      <x:c r="E150" s="64" t="str"/>
      <x:c r="F150" s="64" t="n">
        <x:f>Lot_paie!Y6</x:f>
        <x:v>0</x:v>
      </x:c>
      <x:c r="G150" s="66" t="str"/>
      <x:c r="H150" s="64" t="str"/>
    </x:row>
    <x:row r="151">
      <x:c r="A151" s="25" t="str"/>
      <x:c r="B151" s="25" t="str">
        <x:v>Total gains non imposables</x:v>
      </x:c>
      <x:c r="C151" s="25" t="str"/>
      <x:c r="D151" s="64" t="str"/>
      <x:c r="E151" s="64" t="str"/>
      <x:c r="F151" s="64" t="n">
        <x:f>Lot_paie!AR6</x:f>
        <x:v>0</x:v>
      </x:c>
      <x:c r="G151" s="66" t="str"/>
      <x:c r="H151" s="64" t="str"/>
    </x:row>
    <x:row r="152">
      <x:c r="A152" s="25" t="str"/>
      <x:c r="B152" s="110" t="str">
        <x:v>NET À PAYER</x:v>
      </x:c>
      <x:c r="C152" s="110" t="str"/>
      <x:c r="D152" s="111" t="str"/>
      <x:c r="E152" s="111" t="str"/>
      <x:c r="F152" s="111" t="str"/>
      <x:c r="G152" s="112" t="str"/>
      <x:c r="H152" s="111" t="n">
        <x:f>Lot_paie!AT6</x:f>
        <x:v>0</x:v>
      </x:c>
    </x:row>
    <x:row r="153">
      <x:c r="A153" s="25"/>
      <x:c r="B153" s="25"/>
      <x:c r="C153" s="25"/>
      <x:c r="D153" s="25"/>
      <x:c r="E153" s="25"/>
      <x:c r="F153" s="25"/>
      <x:c r="G153" s="25"/>
      <x:c r="H153" s="25"/>
    </x:row>
    <x:row r="154">
      <x:c r="A154" s="25"/>
      <x:c r="B154" s="25"/>
      <x:c r="C154" s="25"/>
      <x:c r="D154" s="25"/>
      <x:c r="E154" s="25"/>
      <x:c r="F154" s="25"/>
      <x:c r="G154" s="25"/>
      <x:c r="H154" s="25"/>
    </x:row>
    <x:row r="155">
      <x:c r="A155" s="25"/>
      <x:c r="B155" s="25"/>
      <x:c r="C155" s="25"/>
      <x:c r="D155" s="25"/>
      <x:c r="E155" s="25"/>
      <x:c r="F155" s="25"/>
      <x:c r="G155" s="25"/>
      <x:c r="H155" s="25"/>
    </x:row>
    <x:row r="156">
      <x:c r="A156" s="25"/>
      <x:c r="B156" s="25"/>
      <x:c r="C156" s="25"/>
      <x:c r="D156" s="25"/>
      <x:c r="E156" s="25"/>
      <x:c r="F156" s="25"/>
      <x:c r="G156" s="25"/>
      <x:c r="H156" s="25"/>
    </x:row>
    <x:row r="157">
      <x:c r="A157" s="25"/>
      <x:c r="B157" s="25"/>
      <x:c r="C157" s="25"/>
      <x:c r="D157" s="25"/>
      <x:c r="E157" s="25"/>
      <x:c r="F157" s="25"/>
      <x:c r="G157" s="25"/>
      <x:c r="H157" s="25"/>
    </x:row>
    <x:row r="158">
      <x:c r="A158" s="25"/>
      <x:c r="B158" s="25"/>
      <x:c r="C158" s="25"/>
      <x:c r="D158" s="25"/>
      <x:c r="E158" s="25"/>
      <x:c r="F158" s="25"/>
      <x:c r="G158" s="25"/>
      <x:c r="H158" s="25"/>
    </x:row>
    <x:row r="159">
      <x:c r="A159" s="25"/>
      <x:c r="B159" s="25"/>
      <x:c r="C159" s="25"/>
      <x:c r="D159" s="25"/>
      <x:c r="E159" s="25"/>
      <x:c r="F159" s="25"/>
      <x:c r="G159" s="25"/>
      <x:c r="H159" s="25"/>
    </x:row>
    <x:row r="161">
      <x:c r="A161" s="108" t="str">
        <x:v>BULLETIN DE PAIE – AAEA / AfWASA</x:v>
      </x:c>
      <x:c r="B161" s="108"/>
      <x:c r="C161" s="108"/>
      <x:c r="D161" s="108"/>
      <x:c r="E161" s="108"/>
      <x:c r="F161" s="108"/>
      <x:c r="G161" s="108"/>
      <x:c r="H161" s="108"/>
    </x:row>
    <x:row r="162">
      <x:c r="A162" s="25" t="str">
        <x:v>Matricule</x:v>
      </x:c>
      <x:c r="B162" s="25" t="str">
        <x:f>Lot_paie!A7</x:f>
        <x:v>0014D</x:v>
      </x:c>
      <x:c r="C162" s="25" t="str">
        <x:v>Période</x:v>
      </x:c>
      <x:c r="D162" s="25" t="str">
        <x:f>Parametres_Paie!$B$26</x:f>
        <x:v>Janvier 2025</x:v>
      </x:c>
      <x:c r="E162" s="25" t="str">
        <x:v>Paiement</x:v>
      </x:c>
      <x:c r="F162" s="25" t="n">
        <x:f>Parametres_Paie!$B$25</x:f>
        <x:v>45688</x:v>
      </x:c>
      <x:c r="G162" s="25" t="str"/>
      <x:c r="H162" s="25" t="str"/>
    </x:row>
    <x:row r="163">
      <x:c r="A163" s="25" t="str">
        <x:v>Nom et prénom</x:v>
      </x:c>
      <x:c r="B163" s="25" t="str">
        <x:f>Lot_paie!B7&amp;" "&amp;Lot_paie!C7</x:f>
        <x:v>N’GUESSAN KOFFI Sonia</x:v>
      </x:c>
      <x:c r="C163" s="25" t="str">
        <x:v>Poste</x:v>
      </x:c>
      <x:c r="D163" s="25" t="str">
        <x:f>Lot_paie!F7</x:f>
        <x:v>Responsable Comptable &amp; Financier</x:v>
      </x:c>
      <x:c r="E163" s="25" t="str">
        <x:v>CNPS</x:v>
      </x:c>
      <x:c r="F163" s="25" t="n">
        <x:f>Lot_paie!J7</x:f>
        <x:v>289011438025</x:v>
      </x:c>
      <x:c r="G163" s="25" t="str"/>
      <x:c r="H163" s="25" t="str"/>
    </x:row>
    <x:row r="164">
      <x:c r="A164" s="25" t="str">
        <x:v>Direction</x:v>
      </x:c>
      <x:c r="B164" s="25" t="str">
        <x:f>Lot_paie!D7</x:f>
        <x:v>Direction Administrative et Financière</x:v>
      </x:c>
      <x:c r="C164" s="25" t="str">
        <x:v>Date entrée</x:v>
      </x:c>
      <x:c r="D164" s="25" t="n">
        <x:f>Lot_paie!I7</x:f>
        <x:v>41640</x:v>
      </x:c>
      <x:c r="E164" s="25" t="str">
        <x:v>Ancienneté</x:v>
      </x:c>
      <x:c r="F164" s="25" t="str">
        <x:f>Lot_paie!V7</x:f>
        <x:v>11 ans (calcul période)</x:v>
      </x:c>
      <x:c r="G164" s="25" t="str"/>
      <x:c r="H164" s="25" t="str"/>
    </x:row>
    <x:row r="165">
      <x:c r="A165" s="25"/>
      <x:c r="B165" s="25"/>
      <x:c r="C165" s="25"/>
      <x:c r="D165" s="25"/>
      <x:c r="E165" s="25"/>
      <x:c r="F165" s="25"/>
      <x:c r="G165" s="25"/>
      <x:c r="H165" s="25"/>
    </x:row>
    <x:row r="166">
      <x:c r="A166" s="14" t="str">
        <x:v>N°</x:v>
      </x:c>
      <x:c r="B166" s="14" t="str">
        <x:v>Désignation</x:v>
      </x:c>
      <x:c r="C166" s="14" t="str">
        <x:v>Nombre</x:v>
      </x:c>
      <x:c r="D166" s="14" t="str">
        <x:v>Base</x:v>
      </x:c>
      <x:c r="E166" s="14" t="str">
        <x:v>Taux Sal.</x:v>
      </x:c>
      <x:c r="F166" s="14" t="str">
        <x:v>Ret. Sal.</x:v>
      </x:c>
      <x:c r="G166" s="14" t="str">
        <x:v>Taux Pat.</x:v>
      </x:c>
      <x:c r="H166" s="14" t="str">
        <x:v>Ret. Pat.</x:v>
      </x:c>
    </x:row>
    <x:row r="167">
      <x:c r="A167" s="25" t="str">
        <x:v>100</x:v>
      </x:c>
      <x:c r="B167" s="25" t="str">
        <x:v>Salaire de base</x:v>
      </x:c>
      <x:c r="C167" s="25" t="str">
        <x:v>30</x:v>
      </x:c>
      <x:c r="D167" s="64" t="n">
        <x:f>Lot_paie!K7</x:f>
        <x:v>0</x:v>
      </x:c>
      <x:c r="E167" s="64" t="str"/>
      <x:c r="F167" s="64" t="str"/>
      <x:c r="G167" s="64" t="str"/>
      <x:c r="H167" s="64" t="str"/>
    </x:row>
    <x:row r="168">
      <x:c r="A168" s="25" t="str">
        <x:v>110</x:v>
      </x:c>
      <x:c r="B168" s="25" t="str">
        <x:v>Sursalaire</x:v>
      </x:c>
      <x:c r="C168" s="25" t="str">
        <x:v>30</x:v>
      </x:c>
      <x:c r="D168" s="64" t="n">
        <x:f>Lot_paie!L7</x:f>
        <x:v>0</x:v>
      </x:c>
      <x:c r="E168" s="64" t="str"/>
      <x:c r="F168" s="64" t="str"/>
      <x:c r="G168" s="64" t="str"/>
      <x:c r="H168" s="64" t="str"/>
    </x:row>
    <x:row r="169">
      <x:c r="A169" s="25" t="str">
        <x:v>120</x:v>
      </x:c>
      <x:c r="B169" s="25" t="str">
        <x:v>Prime ancienneté</x:v>
      </x:c>
      <x:c r="C169" s="25" t="n">
        <x:f>Lot_paie!U7</x:f>
        <x:v>11</x:v>
      </x:c>
      <x:c r="D169" s="64" t="n">
        <x:f>Lot_paie!X7</x:f>
        <x:v>0</x:v>
      </x:c>
      <x:c r="E169" s="64" t="str"/>
      <x:c r="F169" s="64" t="str"/>
      <x:c r="G169" s="64" t="str"/>
      <x:c r="H169" s="64" t="str"/>
    </x:row>
    <x:row r="170">
      <x:c r="A170" s="25" t="str"/>
      <x:c r="B170" s="24" t="str">
        <x:v>Total brut imposable</x:v>
      </x:c>
      <x:c r="C170" s="24" t="str"/>
      <x:c r="D170" s="76" t="str"/>
      <x:c r="E170" s="76" t="str"/>
      <x:c r="F170" s="76" t="n">
        <x:f>Lot_paie!AA7</x:f>
        <x:v>0</x:v>
      </x:c>
      <x:c r="G170" s="76" t="str"/>
      <x:c r="H170" s="76" t="str"/>
    </x:row>
    <x:row r="171">
      <x:c r="A171" s="25" t="str">
        <x:v>810</x:v>
      </x:c>
      <x:c r="B171" s="25" t="str">
        <x:v>C.N.P.S.</x:v>
      </x:c>
      <x:c r="C171" s="25" t="str"/>
      <x:c r="D171" s="64" t="n">
        <x:f>Lot_paie!AB7</x:f>
        <x:v>0</x:v>
      </x:c>
      <x:c r="E171" s="66" t="n">
        <x:f>Parametres_Paie!$B$4</x:f>
        <x:v>0.063</x:v>
      </x:c>
      <x:c r="F171" s="64" t="n">
        <x:f>Lot_paie!AC7</x:f>
        <x:v>0</x:v>
      </x:c>
      <x:c r="G171" s="66" t="n">
        <x:f>Parametres_Paie!$B$5</x:f>
        <x:v>0.077</x:v>
      </x:c>
      <x:c r="H171" s="64" t="n">
        <x:f>Lot_paie!AH7</x:f>
        <x:v>0</x:v>
      </x:c>
    </x:row>
    <x:row r="172">
      <x:c r="A172" s="25" t="str">
        <x:v>815</x:v>
      </x:c>
      <x:c r="B172" s="25" t="str">
        <x:v>Retenue CMU employé</x:v>
      </x:c>
      <x:c r="C172" s="25" t="str"/>
      <x:c r="D172" s="64" t="n">
        <x:f>Lot_paie!AD7</x:f>
        <x:v>0</x:v>
      </x:c>
      <x:c r="E172" s="64" t="str"/>
      <x:c r="F172" s="64" t="n">
        <x:f>Lot_paie!AD7</x:f>
        <x:v>0</x:v>
      </x:c>
      <x:c r="G172" s="66" t="str"/>
      <x:c r="H172" s="64" t="n">
        <x:f>Lot_paie!AL7</x:f>
        <x:v>0</x:v>
      </x:c>
    </x:row>
    <x:row r="173">
      <x:c r="A173" s="25" t="str">
        <x:v>860</x:v>
      </x:c>
      <x:c r="B173" s="25" t="str">
        <x:v>I.T.S</x:v>
      </x:c>
      <x:c r="C173" s="25" t="str"/>
      <x:c r="D173" s="64" t="n">
        <x:f>Lot_paie!AA7</x:f>
        <x:v>0</x:v>
      </x:c>
      <x:c r="E173" s="64" t="str"/>
      <x:c r="F173" s="64" t="n">
        <x:f>Lot_paie!AF7</x:f>
        <x:v>0</x:v>
      </x:c>
      <x:c r="G173" s="66" t="str"/>
      <x:c r="H173" s="64" t="str"/>
    </x:row>
    <x:row r="174">
      <x:c r="A174" s="25" t="str">
        <x:v>912</x:v>
      </x:c>
      <x:c r="B174" s="25" t="str">
        <x:v>Prestation Familiale</x:v>
      </x:c>
      <x:c r="C174" s="25" t="str"/>
      <x:c r="D174" s="64" t="n">
        <x:f>Parametres_Paie!$B$7</x:f>
        <x:v>75000</x:v>
      </x:c>
      <x:c r="E174" s="64" t="str"/>
      <x:c r="F174" s="64" t="str"/>
      <x:c r="G174" s="66" t="n">
        <x:f>Parametres_Paie!$B$8</x:f>
        <x:v>0.05</x:v>
      </x:c>
      <x:c r="H174" s="64" t="n">
        <x:f>Lot_paie!AI7</x:f>
        <x:v>0</x:v>
      </x:c>
    </x:row>
    <x:row r="175">
      <x:c r="A175" s="25" t="str">
        <x:v>913</x:v>
      </x:c>
      <x:c r="B175" s="25" t="str">
        <x:v>Accident de Travail</x:v>
      </x:c>
      <x:c r="C175" s="25" t="str"/>
      <x:c r="D175" s="64" t="n">
        <x:f>Parametres_Paie!$B$7</x:f>
        <x:v>75000</x:v>
      </x:c>
      <x:c r="E175" s="64" t="str"/>
      <x:c r="F175" s="64" t="str"/>
      <x:c r="G175" s="66" t="n">
        <x:f>Lot_paie!T7</x:f>
        <x:v>0.02</x:v>
      </x:c>
      <x:c r="H175" s="64" t="n">
        <x:f>Lot_paie!AJ7</x:f>
        <x:v>0</x:v>
      </x:c>
    </x:row>
    <x:row r="176">
      <x:c r="A176" s="25" t="str">
        <x:v>914</x:v>
      </x:c>
      <x:c r="B176" s="25" t="str">
        <x:v>Assurance Maternité</x:v>
      </x:c>
      <x:c r="C176" s="25" t="str"/>
      <x:c r="D176" s="64" t="n">
        <x:f>Parametres_Paie!$B$7</x:f>
        <x:v>75000</x:v>
      </x:c>
      <x:c r="E176" s="64" t="str"/>
      <x:c r="F176" s="64" t="str"/>
      <x:c r="G176" s="66" t="n">
        <x:f>Parametres_Paie!$B$9</x:f>
        <x:v>0.0075</x:v>
      </x:c>
      <x:c r="H176" s="64" t="n">
        <x:f>Lot_paie!AK7</x:f>
        <x:v>0</x:v>
      </x:c>
    </x:row>
    <x:row r="177">
      <x:c r="A177" s="25" t="str">
        <x:v>924</x:v>
      </x:c>
      <x:c r="B177" s="25" t="str">
        <x:v>I.S. Employeur Local</x:v>
      </x:c>
      <x:c r="C177" s="25" t="str"/>
      <x:c r="D177" s="64" t="n">
        <x:f>Lot_paie!AA7</x:f>
        <x:v>0</x:v>
      </x:c>
      <x:c r="E177" s="64" t="str"/>
      <x:c r="F177" s="64" t="str"/>
      <x:c r="G177" s="66" t="n">
        <x:f>Parametres_Paie!$B$15</x:f>
        <x:v>0.012</x:v>
      </x:c>
      <x:c r="H177" s="64" t="n">
        <x:f>Lot_paie!AM7</x:f>
        <x:v>0</x:v>
      </x:c>
    </x:row>
    <x:row r="178">
      <x:c r="A178" s="25" t="str">
        <x:v>930</x:v>
      </x:c>
      <x:c r="B178" s="25" t="str">
        <x:v>Taxe d’Apprentissage</x:v>
      </x:c>
      <x:c r="C178" s="25" t="str"/>
      <x:c r="D178" s="64" t="n">
        <x:f>Lot_paie!AA7</x:f>
        <x:v>0</x:v>
      </x:c>
      <x:c r="E178" s="64" t="str"/>
      <x:c r="F178" s="64" t="str"/>
      <x:c r="G178" s="66" t="n">
        <x:f>Parametres_Paie!$B$16</x:f>
        <x:v>0.004</x:v>
      </x:c>
      <x:c r="H178" s="64" t="n">
        <x:f>Lot_paie!AN7</x:f>
        <x:v>0</x:v>
      </x:c>
    </x:row>
    <x:row r="179">
      <x:c r="A179" s="25" t="str">
        <x:v>931</x:v>
      </x:c>
      <x:c r="B179" s="25" t="str">
        <x:v>Taxe Formation Professionnelle Continue</x:v>
      </x:c>
      <x:c r="C179" s="25" t="str"/>
      <x:c r="D179" s="64" t="n">
        <x:f>Lot_paie!AA7</x:f>
        <x:v>0</x:v>
      </x:c>
      <x:c r="E179" s="64" t="str"/>
      <x:c r="F179" s="64" t="str"/>
      <x:c r="G179" s="66" t="n">
        <x:f>Parametres_Paie!$B$17</x:f>
        <x:v>0.006</x:v>
      </x:c>
      <x:c r="H179" s="64" t="n">
        <x:f>Lot_paie!AO7</x:f>
        <x:v>0</x:v>
      </x:c>
    </x:row>
    <x:row r="180">
      <x:c r="A180" s="25" t="str">
        <x:v>932</x:v>
      </x:c>
      <x:c r="B180" s="25" t="str">
        <x:v>Taxe FPC Fin d’année</x:v>
      </x:c>
      <x:c r="C180" s="25" t="str"/>
      <x:c r="D180" s="64" t="n">
        <x:f>Lot_paie!AA7</x:f>
        <x:v>0</x:v>
      </x:c>
      <x:c r="E180" s="64" t="str"/>
      <x:c r="F180" s="64" t="str"/>
      <x:c r="G180" s="66" t="n">
        <x:f>Parametres_Paie!$B$18</x:f>
        <x:v>0.006</x:v>
      </x:c>
      <x:c r="H180" s="64" t="n">
        <x:f>Lot_paie!AP7</x:f>
        <x:v>0</x:v>
      </x:c>
    </x:row>
    <x:row r="181">
      <x:c r="A181" s="25" t="str"/>
      <x:c r="B181" s="83" t="str">
        <x:v>Total retenues fiscales et sociales</x:v>
      </x:c>
      <x:c r="C181" s="83" t="str"/>
      <x:c r="D181" s="84" t="str"/>
      <x:c r="E181" s="84" t="str"/>
      <x:c r="F181" s="84" t="n">
        <x:f>Lot_paie!AG7</x:f>
        <x:v>0</x:v>
      </x:c>
      <x:c r="G181" s="85" t="str"/>
      <x:c r="H181" s="84" t="n">
        <x:f>Lot_paie!AQ7</x:f>
        <x:v>0</x:v>
      </x:c>
    </x:row>
    <x:row r="182">
      <x:c r="A182" s="25" t="str">
        <x:v>204</x:v>
      </x:c>
      <x:c r="B182" s="25" t="str">
        <x:v>Indemnité Transport N. Imposable</x:v>
      </x:c>
      <x:c r="C182" s="25" t="str">
        <x:v>30</x:v>
      </x:c>
      <x:c r="D182" s="64" t="n">
        <x:f>Lot_paie!Y7</x:f>
        <x:v>0</x:v>
      </x:c>
      <x:c r="E182" s="64" t="str"/>
      <x:c r="F182" s="64" t="n">
        <x:f>Lot_paie!Y7</x:f>
        <x:v>0</x:v>
      </x:c>
      <x:c r="G182" s="66" t="str"/>
      <x:c r="H182" s="64" t="str"/>
    </x:row>
    <x:row r="183">
      <x:c r="A183" s="25" t="str"/>
      <x:c r="B183" s="25" t="str">
        <x:v>Total gains non imposables</x:v>
      </x:c>
      <x:c r="C183" s="25" t="str"/>
      <x:c r="D183" s="64" t="str"/>
      <x:c r="E183" s="64" t="str"/>
      <x:c r="F183" s="64" t="n">
        <x:f>Lot_paie!AR7</x:f>
        <x:v>0</x:v>
      </x:c>
      <x:c r="G183" s="66" t="str"/>
      <x:c r="H183" s="64" t="str"/>
    </x:row>
    <x:row r="184">
      <x:c r="A184" s="25" t="str"/>
      <x:c r="B184" s="110" t="str">
        <x:v>NET À PAYER</x:v>
      </x:c>
      <x:c r="C184" s="110" t="str"/>
      <x:c r="D184" s="111" t="str"/>
      <x:c r="E184" s="111" t="str"/>
      <x:c r="F184" s="111" t="str"/>
      <x:c r="G184" s="112" t="str"/>
      <x:c r="H184" s="111" t="n">
        <x:f>Lot_paie!AT7</x:f>
        <x:v>0</x:v>
      </x:c>
    </x:row>
    <x:row r="185">
      <x:c r="A185" s="25"/>
      <x:c r="B185" s="25"/>
      <x:c r="C185" s="25"/>
      <x:c r="D185" s="25"/>
      <x:c r="E185" s="25"/>
      <x:c r="F185" s="25"/>
      <x:c r="G185" s="25"/>
      <x:c r="H185" s="25"/>
    </x:row>
    <x:row r="186">
      <x:c r="A186" s="25"/>
      <x:c r="B186" s="25"/>
      <x:c r="C186" s="25"/>
      <x:c r="D186" s="25"/>
      <x:c r="E186" s="25"/>
      <x:c r="F186" s="25"/>
      <x:c r="G186" s="25"/>
      <x:c r="H186" s="25"/>
    </x:row>
    <x:row r="187">
      <x:c r="A187" s="25"/>
      <x:c r="B187" s="25"/>
      <x:c r="C187" s="25"/>
      <x:c r="D187" s="25"/>
      <x:c r="E187" s="25"/>
      <x:c r="F187" s="25"/>
      <x:c r="G187" s="25"/>
      <x:c r="H187" s="25"/>
    </x:row>
    <x:row r="188">
      <x:c r="A188" s="25"/>
      <x:c r="B188" s="25"/>
      <x:c r="C188" s="25"/>
      <x:c r="D188" s="25"/>
      <x:c r="E188" s="25"/>
      <x:c r="F188" s="25"/>
      <x:c r="G188" s="25"/>
      <x:c r="H188" s="25"/>
    </x:row>
    <x:row r="189">
      <x:c r="A189" s="25"/>
      <x:c r="B189" s="25"/>
      <x:c r="C189" s="25"/>
      <x:c r="D189" s="25"/>
      <x:c r="E189" s="25"/>
      <x:c r="F189" s="25"/>
      <x:c r="G189" s="25"/>
      <x:c r="H189" s="25"/>
    </x:row>
    <x:row r="190">
      <x:c r="A190" s="25"/>
      <x:c r="B190" s="25"/>
      <x:c r="C190" s="25"/>
      <x:c r="D190" s="25"/>
      <x:c r="E190" s="25"/>
      <x:c r="F190" s="25"/>
      <x:c r="G190" s="25"/>
      <x:c r="H190" s="25"/>
    </x:row>
    <x:row r="191">
      <x:c r="A191" s="25"/>
      <x:c r="B191" s="25"/>
      <x:c r="C191" s="25"/>
      <x:c r="D191" s="25"/>
      <x:c r="E191" s="25"/>
      <x:c r="F191" s="25"/>
      <x:c r="G191" s="25"/>
      <x:c r="H191" s="25"/>
    </x:row>
    <x:row r="193">
      <x:c r="A193" s="108" t="str">
        <x:v>BULLETIN DE PAIE – AAEA / AfWASA</x:v>
      </x:c>
      <x:c r="B193" s="108"/>
      <x:c r="C193" s="108"/>
      <x:c r="D193" s="108"/>
      <x:c r="E193" s="108"/>
      <x:c r="F193" s="108"/>
      <x:c r="G193" s="108"/>
      <x:c r="H193" s="108"/>
    </x:row>
    <x:row r="194">
      <x:c r="A194" s="25" t="str">
        <x:v>Matricule</x:v>
      </x:c>
      <x:c r="B194" s="25" t="str">
        <x:f>Lot_paie!A8</x:f>
        <x:v>0017F</x:v>
      </x:c>
      <x:c r="C194" s="25" t="str">
        <x:v>Période</x:v>
      </x:c>
      <x:c r="D194" s="25" t="str">
        <x:f>Parametres_Paie!$B$26</x:f>
        <x:v>Janvier 2025</x:v>
      </x:c>
      <x:c r="E194" s="25" t="str">
        <x:v>Paiement</x:v>
      </x:c>
      <x:c r="F194" s="25" t="n">
        <x:f>Parametres_Paie!$B$25</x:f>
        <x:v>45688</x:v>
      </x:c>
      <x:c r="G194" s="25" t="str"/>
      <x:c r="H194" s="25" t="str"/>
    </x:row>
    <x:row r="195">
      <x:c r="A195" s="25" t="str">
        <x:v>Nom et prénom</x:v>
      </x:c>
      <x:c r="B195" s="25" t="str">
        <x:f>Lot_paie!B8&amp;" "&amp;Lot_paie!C8</x:f>
        <x:v>KENFACK Siméon</x:v>
      </x:c>
      <x:c r="C195" s="25" t="str">
        <x:v>Poste</x:v>
      </x:c>
      <x:c r="D195" s="25" t="str">
        <x:f>Lot_paie!F8</x:f>
        <x:v>Directeur Programmes et du Développement Professionnel</x:v>
      </x:c>
      <x:c r="E195" s="25" t="str">
        <x:v>CNPS</x:v>
      </x:c>
      <x:c r="F195" s="25" t="n">
        <x:f>Lot_paie!J8</x:f>
        <x:v>166101882858</x:v>
      </x:c>
      <x:c r="G195" s="25" t="str"/>
      <x:c r="H195" s="25" t="str"/>
    </x:row>
    <x:row r="196">
      <x:c r="A196" s="25" t="str">
        <x:v>Direction</x:v>
      </x:c>
      <x:c r="B196" s="25" t="str">
        <x:f>Lot_paie!D8</x:f>
        <x:v>Direction des Services aux Membres et des Programmes</x:v>
      </x:c>
      <x:c r="C196" s="25" t="str">
        <x:v>Date entrée</x:v>
      </x:c>
      <x:c r="D196" s="25" t="n">
        <x:f>Lot_paie!I8</x:f>
        <x:v>41518</x:v>
      </x:c>
      <x:c r="E196" s="25" t="str">
        <x:v>Ancienneté</x:v>
      </x:c>
      <x:c r="F196" s="25" t="str">
        <x:f>Lot_paie!V8</x:f>
        <x:v>11 ans (calcul période)</x:v>
      </x:c>
      <x:c r="G196" s="25" t="str"/>
      <x:c r="H196" s="25" t="str"/>
    </x:row>
    <x:row r="197">
      <x:c r="A197" s="25"/>
      <x:c r="B197" s="25"/>
      <x:c r="C197" s="25"/>
      <x:c r="D197" s="25"/>
      <x:c r="E197" s="25"/>
      <x:c r="F197" s="25"/>
      <x:c r="G197" s="25"/>
      <x:c r="H197" s="25"/>
    </x:row>
    <x:row r="198">
      <x:c r="A198" s="14" t="str">
        <x:v>N°</x:v>
      </x:c>
      <x:c r="B198" s="14" t="str">
        <x:v>Désignation</x:v>
      </x:c>
      <x:c r="C198" s="14" t="str">
        <x:v>Nombre</x:v>
      </x:c>
      <x:c r="D198" s="14" t="str">
        <x:v>Base</x:v>
      </x:c>
      <x:c r="E198" s="14" t="str">
        <x:v>Taux Sal.</x:v>
      </x:c>
      <x:c r="F198" s="14" t="str">
        <x:v>Ret. Sal.</x:v>
      </x:c>
      <x:c r="G198" s="14" t="str">
        <x:v>Taux Pat.</x:v>
      </x:c>
      <x:c r="H198" s="14" t="str">
        <x:v>Ret. Pat.</x:v>
      </x:c>
    </x:row>
    <x:row r="199">
      <x:c r="A199" s="25" t="str">
        <x:v>100</x:v>
      </x:c>
      <x:c r="B199" s="25" t="str">
        <x:v>Salaire de base</x:v>
      </x:c>
      <x:c r="C199" s="25" t="str">
        <x:v>30</x:v>
      </x:c>
      <x:c r="D199" s="64" t="n">
        <x:f>Lot_paie!K8</x:f>
        <x:v>0</x:v>
      </x:c>
      <x:c r="E199" s="64" t="str"/>
      <x:c r="F199" s="64" t="str"/>
      <x:c r="G199" s="64" t="str"/>
      <x:c r="H199" s="64" t="str"/>
    </x:row>
    <x:row r="200">
      <x:c r="A200" s="25" t="str">
        <x:v>110</x:v>
      </x:c>
      <x:c r="B200" s="25" t="str">
        <x:v>Sursalaire</x:v>
      </x:c>
      <x:c r="C200" s="25" t="str">
        <x:v>30</x:v>
      </x:c>
      <x:c r="D200" s="64" t="n">
        <x:f>Lot_paie!L8</x:f>
        <x:v>0</x:v>
      </x:c>
      <x:c r="E200" s="64" t="str"/>
      <x:c r="F200" s="64" t="str"/>
      <x:c r="G200" s="64" t="str"/>
      <x:c r="H200" s="64" t="str"/>
    </x:row>
    <x:row r="201">
      <x:c r="A201" s="25" t="str">
        <x:v>120</x:v>
      </x:c>
      <x:c r="B201" s="25" t="str">
        <x:v>Prime ancienneté</x:v>
      </x:c>
      <x:c r="C201" s="25" t="n">
        <x:f>Lot_paie!U8</x:f>
        <x:v>11</x:v>
      </x:c>
      <x:c r="D201" s="64" t="n">
        <x:f>Lot_paie!X8</x:f>
        <x:v>0</x:v>
      </x:c>
      <x:c r="E201" s="64" t="str"/>
      <x:c r="F201" s="64" t="str"/>
      <x:c r="G201" s="64" t="str"/>
      <x:c r="H201" s="64" t="str"/>
    </x:row>
    <x:row r="202">
      <x:c r="A202" s="25" t="str"/>
      <x:c r="B202" s="24" t="str">
        <x:v>Total brut imposable</x:v>
      </x:c>
      <x:c r="C202" s="24" t="str"/>
      <x:c r="D202" s="76" t="str"/>
      <x:c r="E202" s="76" t="str"/>
      <x:c r="F202" s="76" t="n">
        <x:f>Lot_paie!AA8</x:f>
        <x:v>0</x:v>
      </x:c>
      <x:c r="G202" s="76" t="str"/>
      <x:c r="H202" s="76" t="str"/>
    </x:row>
    <x:row r="203">
      <x:c r="A203" s="25" t="str">
        <x:v>810</x:v>
      </x:c>
      <x:c r="B203" s="25" t="str">
        <x:v>C.N.P.S.</x:v>
      </x:c>
      <x:c r="C203" s="25" t="str"/>
      <x:c r="D203" s="64" t="n">
        <x:f>Lot_paie!AB8</x:f>
        <x:v>0</x:v>
      </x:c>
      <x:c r="E203" s="66" t="n">
        <x:f>Parametres_Paie!$B$4</x:f>
        <x:v>0.063</x:v>
      </x:c>
      <x:c r="F203" s="64" t="n">
        <x:f>Lot_paie!AC8</x:f>
        <x:v>0</x:v>
      </x:c>
      <x:c r="G203" s="66" t="n">
        <x:f>Parametres_Paie!$B$5</x:f>
        <x:v>0.077</x:v>
      </x:c>
      <x:c r="H203" s="64" t="n">
        <x:f>Lot_paie!AH8</x:f>
        <x:v>0</x:v>
      </x:c>
    </x:row>
    <x:row r="204">
      <x:c r="A204" s="25" t="str">
        <x:v>815</x:v>
      </x:c>
      <x:c r="B204" s="25" t="str">
        <x:v>Retenue CMU employé</x:v>
      </x:c>
      <x:c r="C204" s="25" t="str"/>
      <x:c r="D204" s="64" t="n">
        <x:f>Lot_paie!AD8</x:f>
        <x:v>0</x:v>
      </x:c>
      <x:c r="E204" s="64" t="str"/>
      <x:c r="F204" s="64" t="n">
        <x:f>Lot_paie!AD8</x:f>
        <x:v>0</x:v>
      </x:c>
      <x:c r="G204" s="66" t="str"/>
      <x:c r="H204" s="64" t="n">
        <x:f>Lot_paie!AL8</x:f>
        <x:v>0</x:v>
      </x:c>
    </x:row>
    <x:row r="205">
      <x:c r="A205" s="25" t="str">
        <x:v>860</x:v>
      </x:c>
      <x:c r="B205" s="25" t="str">
        <x:v>I.T.S</x:v>
      </x:c>
      <x:c r="C205" s="25" t="str"/>
      <x:c r="D205" s="64" t="n">
        <x:f>Lot_paie!AA8</x:f>
        <x:v>0</x:v>
      </x:c>
      <x:c r="E205" s="64" t="str"/>
      <x:c r="F205" s="64" t="n">
        <x:f>Lot_paie!AF8</x:f>
        <x:v>0</x:v>
      </x:c>
      <x:c r="G205" s="66" t="str"/>
      <x:c r="H205" s="64" t="str"/>
    </x:row>
    <x:row r="206">
      <x:c r="A206" s="25" t="str">
        <x:v>912</x:v>
      </x:c>
      <x:c r="B206" s="25" t="str">
        <x:v>Prestation Familiale</x:v>
      </x:c>
      <x:c r="C206" s="25" t="str"/>
      <x:c r="D206" s="64" t="n">
        <x:f>Parametres_Paie!$B$7</x:f>
        <x:v>75000</x:v>
      </x:c>
      <x:c r="E206" s="64" t="str"/>
      <x:c r="F206" s="64" t="str"/>
      <x:c r="G206" s="66" t="n">
        <x:f>Parametres_Paie!$B$8</x:f>
        <x:v>0.05</x:v>
      </x:c>
      <x:c r="H206" s="64" t="n">
        <x:f>Lot_paie!AI8</x:f>
        <x:v>0</x:v>
      </x:c>
    </x:row>
    <x:row r="207">
      <x:c r="A207" s="25" t="str">
        <x:v>913</x:v>
      </x:c>
      <x:c r="B207" s="25" t="str">
        <x:v>Accident de Travail</x:v>
      </x:c>
      <x:c r="C207" s="25" t="str"/>
      <x:c r="D207" s="64" t="n">
        <x:f>Parametres_Paie!$B$7</x:f>
        <x:v>75000</x:v>
      </x:c>
      <x:c r="E207" s="64" t="str"/>
      <x:c r="F207" s="64" t="str"/>
      <x:c r="G207" s="66" t="n">
        <x:f>Lot_paie!T8</x:f>
        <x:v>0.02</x:v>
      </x:c>
      <x:c r="H207" s="64" t="n">
        <x:f>Lot_paie!AJ8</x:f>
        <x:v>0</x:v>
      </x:c>
    </x:row>
    <x:row r="208">
      <x:c r="A208" s="25" t="str">
        <x:v>914</x:v>
      </x:c>
      <x:c r="B208" s="25" t="str">
        <x:v>Assurance Maternité</x:v>
      </x:c>
      <x:c r="C208" s="25" t="str"/>
      <x:c r="D208" s="64" t="n">
        <x:f>Parametres_Paie!$B$7</x:f>
        <x:v>75000</x:v>
      </x:c>
      <x:c r="E208" s="64" t="str"/>
      <x:c r="F208" s="64" t="str"/>
      <x:c r="G208" s="66" t="n">
        <x:f>Parametres_Paie!$B$9</x:f>
        <x:v>0.0075</x:v>
      </x:c>
      <x:c r="H208" s="64" t="n">
        <x:f>Lot_paie!AK8</x:f>
        <x:v>0</x:v>
      </x:c>
    </x:row>
    <x:row r="209">
      <x:c r="A209" s="25" t="str">
        <x:v>924</x:v>
      </x:c>
      <x:c r="B209" s="25" t="str">
        <x:v>I.S. Employeur Local</x:v>
      </x:c>
      <x:c r="C209" s="25" t="str"/>
      <x:c r="D209" s="64" t="n">
        <x:f>Lot_paie!AA8</x:f>
        <x:v>0</x:v>
      </x:c>
      <x:c r="E209" s="64" t="str"/>
      <x:c r="F209" s="64" t="str"/>
      <x:c r="G209" s="66" t="n">
        <x:f>Parametres_Paie!$B$15</x:f>
        <x:v>0.012</x:v>
      </x:c>
      <x:c r="H209" s="64" t="n">
        <x:f>Lot_paie!AM8</x:f>
        <x:v>0</x:v>
      </x:c>
    </x:row>
    <x:row r="210">
      <x:c r="A210" s="25" t="str">
        <x:v>930</x:v>
      </x:c>
      <x:c r="B210" s="25" t="str">
        <x:v>Taxe d’Apprentissage</x:v>
      </x:c>
      <x:c r="C210" s="25" t="str"/>
      <x:c r="D210" s="64" t="n">
        <x:f>Lot_paie!AA8</x:f>
        <x:v>0</x:v>
      </x:c>
      <x:c r="E210" s="64" t="str"/>
      <x:c r="F210" s="64" t="str"/>
      <x:c r="G210" s="66" t="n">
        <x:f>Parametres_Paie!$B$16</x:f>
        <x:v>0.004</x:v>
      </x:c>
      <x:c r="H210" s="64" t="n">
        <x:f>Lot_paie!AN8</x:f>
        <x:v>0</x:v>
      </x:c>
    </x:row>
    <x:row r="211">
      <x:c r="A211" s="25" t="str">
        <x:v>931</x:v>
      </x:c>
      <x:c r="B211" s="25" t="str">
        <x:v>Taxe Formation Professionnelle Continue</x:v>
      </x:c>
      <x:c r="C211" s="25" t="str"/>
      <x:c r="D211" s="64" t="n">
        <x:f>Lot_paie!AA8</x:f>
        <x:v>0</x:v>
      </x:c>
      <x:c r="E211" s="64" t="str"/>
      <x:c r="F211" s="64" t="str"/>
      <x:c r="G211" s="66" t="n">
        <x:f>Parametres_Paie!$B$17</x:f>
        <x:v>0.006</x:v>
      </x:c>
      <x:c r="H211" s="64" t="n">
        <x:f>Lot_paie!AO8</x:f>
        <x:v>0</x:v>
      </x:c>
    </x:row>
    <x:row r="212">
      <x:c r="A212" s="25" t="str">
        <x:v>932</x:v>
      </x:c>
      <x:c r="B212" s="25" t="str">
        <x:v>Taxe FPC Fin d’année</x:v>
      </x:c>
      <x:c r="C212" s="25" t="str"/>
      <x:c r="D212" s="64" t="n">
        <x:f>Lot_paie!AA8</x:f>
        <x:v>0</x:v>
      </x:c>
      <x:c r="E212" s="64" t="str"/>
      <x:c r="F212" s="64" t="str"/>
      <x:c r="G212" s="66" t="n">
        <x:f>Parametres_Paie!$B$18</x:f>
        <x:v>0.006</x:v>
      </x:c>
      <x:c r="H212" s="64" t="n">
        <x:f>Lot_paie!AP8</x:f>
        <x:v>0</x:v>
      </x:c>
    </x:row>
    <x:row r="213">
      <x:c r="A213" s="25" t="str"/>
      <x:c r="B213" s="83" t="str">
        <x:v>Total retenues fiscales et sociales</x:v>
      </x:c>
      <x:c r="C213" s="83" t="str"/>
      <x:c r="D213" s="84" t="str"/>
      <x:c r="E213" s="84" t="str"/>
      <x:c r="F213" s="84" t="n">
        <x:f>Lot_paie!AG8</x:f>
        <x:v>0</x:v>
      </x:c>
      <x:c r="G213" s="85" t="str"/>
      <x:c r="H213" s="84" t="n">
        <x:f>Lot_paie!AQ8</x:f>
        <x:v>0</x:v>
      </x:c>
    </x:row>
    <x:row r="214">
      <x:c r="A214" s="25" t="str">
        <x:v>204</x:v>
      </x:c>
      <x:c r="B214" s="25" t="str">
        <x:v>Indemnité Transport N. Imposable</x:v>
      </x:c>
      <x:c r="C214" s="25" t="str">
        <x:v>30</x:v>
      </x:c>
      <x:c r="D214" s="64" t="n">
        <x:f>Lot_paie!Y8</x:f>
        <x:v>0</x:v>
      </x:c>
      <x:c r="E214" s="64" t="str"/>
      <x:c r="F214" s="64" t="n">
        <x:f>Lot_paie!Y8</x:f>
        <x:v>0</x:v>
      </x:c>
      <x:c r="G214" s="66" t="str"/>
      <x:c r="H214" s="64" t="str"/>
    </x:row>
    <x:row r="215">
      <x:c r="A215" s="25" t="str"/>
      <x:c r="B215" s="25" t="str">
        <x:v>Total gains non imposables</x:v>
      </x:c>
      <x:c r="C215" s="25" t="str"/>
      <x:c r="D215" s="64" t="str"/>
      <x:c r="E215" s="64" t="str"/>
      <x:c r="F215" s="64" t="n">
        <x:f>Lot_paie!AR8</x:f>
        <x:v>0</x:v>
      </x:c>
      <x:c r="G215" s="66" t="str"/>
      <x:c r="H215" s="64" t="str"/>
    </x:row>
    <x:row r="216">
      <x:c r="A216" s="25" t="str"/>
      <x:c r="B216" s="110" t="str">
        <x:v>NET À PAYER</x:v>
      </x:c>
      <x:c r="C216" s="110" t="str"/>
      <x:c r="D216" s="111" t="str"/>
      <x:c r="E216" s="111" t="str"/>
      <x:c r="F216" s="111" t="str"/>
      <x:c r="G216" s="112" t="str"/>
      <x:c r="H216" s="111" t="n">
        <x:f>Lot_paie!AT8</x:f>
        <x:v>0</x:v>
      </x:c>
    </x:row>
    <x:row r="217">
      <x:c r="A217" s="25"/>
      <x:c r="B217" s="25"/>
      <x:c r="C217" s="25"/>
      <x:c r="D217" s="25"/>
      <x:c r="E217" s="25"/>
      <x:c r="F217" s="25"/>
      <x:c r="G217" s="25"/>
      <x:c r="H217" s="25"/>
    </x:row>
    <x:row r="218">
      <x:c r="A218" s="25"/>
      <x:c r="B218" s="25"/>
      <x:c r="C218" s="25"/>
      <x:c r="D218" s="25"/>
      <x:c r="E218" s="25"/>
      <x:c r="F218" s="25"/>
      <x:c r="G218" s="25"/>
      <x:c r="H218" s="25"/>
    </x:row>
    <x:row r="219">
      <x:c r="A219" s="25"/>
      <x:c r="B219" s="25"/>
      <x:c r="C219" s="25"/>
      <x:c r="D219" s="25"/>
      <x:c r="E219" s="25"/>
      <x:c r="F219" s="25"/>
      <x:c r="G219" s="25"/>
      <x:c r="H219" s="25"/>
    </x:row>
    <x:row r="220">
      <x:c r="A220" s="25"/>
      <x:c r="B220" s="25"/>
      <x:c r="C220" s="25"/>
      <x:c r="D220" s="25"/>
      <x:c r="E220" s="25"/>
      <x:c r="F220" s="25"/>
      <x:c r="G220" s="25"/>
      <x:c r="H220" s="25"/>
    </x:row>
    <x:row r="221">
      <x:c r="A221" s="25"/>
      <x:c r="B221" s="25"/>
      <x:c r="C221" s="25"/>
      <x:c r="D221" s="25"/>
      <x:c r="E221" s="25"/>
      <x:c r="F221" s="25"/>
      <x:c r="G221" s="25"/>
      <x:c r="H221" s="25"/>
    </x:row>
    <x:row r="222">
      <x:c r="A222" s="25"/>
      <x:c r="B222" s="25"/>
      <x:c r="C222" s="25"/>
      <x:c r="D222" s="25"/>
      <x:c r="E222" s="25"/>
      <x:c r="F222" s="25"/>
      <x:c r="G222" s="25"/>
      <x:c r="H222" s="25"/>
    </x:row>
    <x:row r="223">
      <x:c r="A223" s="25"/>
      <x:c r="B223" s="25"/>
      <x:c r="C223" s="25"/>
      <x:c r="D223" s="25"/>
      <x:c r="E223" s="25"/>
      <x:c r="F223" s="25"/>
      <x:c r="G223" s="25"/>
      <x:c r="H223" s="25"/>
    </x:row>
    <x:row r="225">
      <x:c r="A225" s="108" t="str">
        <x:v>BULLETIN DE PAIE – AAEA / AfWASA</x:v>
      </x:c>
      <x:c r="B225" s="108"/>
      <x:c r="C225" s="108"/>
      <x:c r="D225" s="108"/>
      <x:c r="E225" s="108"/>
      <x:c r="F225" s="108"/>
      <x:c r="G225" s="108"/>
      <x:c r="H225" s="108"/>
    </x:row>
    <x:row r="226">
      <x:c r="A226" s="25" t="str">
        <x:v>Matricule</x:v>
      </x:c>
      <x:c r="B226" s="25" t="str">
        <x:f>Lot_paie!A9</x:f>
        <x:v>0020K</x:v>
      </x:c>
      <x:c r="C226" s="25" t="str">
        <x:v>Période</x:v>
      </x:c>
      <x:c r="D226" s="25" t="str">
        <x:f>Parametres_Paie!$B$26</x:f>
        <x:v>Janvier 2025</x:v>
      </x:c>
      <x:c r="E226" s="25" t="str">
        <x:v>Paiement</x:v>
      </x:c>
      <x:c r="F226" s="25" t="n">
        <x:f>Parametres_Paie!$B$25</x:f>
        <x:v>45688</x:v>
      </x:c>
      <x:c r="G226" s="25" t="str"/>
      <x:c r="H226" s="25" t="str"/>
    </x:row>
    <x:row r="227">
      <x:c r="A227" s="25" t="str">
        <x:v>Nom et prénom</x:v>
      </x:c>
      <x:c r="B227" s="25" t="str">
        <x:f>Lot_paie!B9&amp;" "&amp;Lot_paie!C9</x:f>
        <x:v>KOUAKOU Kouadio Evrard Nicaise</x:v>
      </x:c>
      <x:c r="C227" s="25" t="str">
        <x:v>Poste</x:v>
      </x:c>
      <x:c r="D227" s="25" t="str">
        <x:f>Lot_paie!F9</x:f>
        <x:v>Responsale des TIC</x:v>
      </x:c>
      <x:c r="E227" s="25" t="str">
        <x:v>CNPS</x:v>
      </x:c>
      <x:c r="F227" s="25" t="n">
        <x:f>Lot_paie!J9</x:f>
        <x:v>183011500094</x:v>
      </x:c>
      <x:c r="G227" s="25" t="str"/>
      <x:c r="H227" s="25" t="str"/>
    </x:row>
    <x:row r="228">
      <x:c r="A228" s="25" t="str">
        <x:v>Direction</x:v>
      </x:c>
      <x:c r="B228" s="25" t="str">
        <x:f>Lot_paie!D9</x:f>
        <x:v>Direction Administrative et Financière</x:v>
      </x:c>
      <x:c r="C228" s="25" t="str">
        <x:v>Date entrée</x:v>
      </x:c>
      <x:c r="D228" s="25" t="n">
        <x:f>Lot_paie!I9</x:f>
        <x:v>41760</x:v>
      </x:c>
      <x:c r="E228" s="25" t="str">
        <x:v>Ancienneté</x:v>
      </x:c>
      <x:c r="F228" s="25" t="str">
        <x:f>Lot_paie!V9</x:f>
        <x:v>10 ans (calcul période)</x:v>
      </x:c>
      <x:c r="G228" s="25" t="str"/>
      <x:c r="H228" s="25" t="str"/>
    </x:row>
    <x:row r="229">
      <x:c r="A229" s="25"/>
      <x:c r="B229" s="25"/>
      <x:c r="C229" s="25"/>
      <x:c r="D229" s="25"/>
      <x:c r="E229" s="25"/>
      <x:c r="F229" s="25"/>
      <x:c r="G229" s="25"/>
      <x:c r="H229" s="25"/>
    </x:row>
    <x:row r="230">
      <x:c r="A230" s="14" t="str">
        <x:v>N°</x:v>
      </x:c>
      <x:c r="B230" s="14" t="str">
        <x:v>Désignation</x:v>
      </x:c>
      <x:c r="C230" s="14" t="str">
        <x:v>Nombre</x:v>
      </x:c>
      <x:c r="D230" s="14" t="str">
        <x:v>Base</x:v>
      </x:c>
      <x:c r="E230" s="14" t="str">
        <x:v>Taux Sal.</x:v>
      </x:c>
      <x:c r="F230" s="14" t="str">
        <x:v>Ret. Sal.</x:v>
      </x:c>
      <x:c r="G230" s="14" t="str">
        <x:v>Taux Pat.</x:v>
      </x:c>
      <x:c r="H230" s="14" t="str">
        <x:v>Ret. Pat.</x:v>
      </x:c>
    </x:row>
    <x:row r="231">
      <x:c r="A231" s="25" t="str">
        <x:v>100</x:v>
      </x:c>
      <x:c r="B231" s="25" t="str">
        <x:v>Salaire de base</x:v>
      </x:c>
      <x:c r="C231" s="25" t="str">
        <x:v>30</x:v>
      </x:c>
      <x:c r="D231" s="64" t="n">
        <x:f>Lot_paie!K9</x:f>
        <x:v>0</x:v>
      </x:c>
      <x:c r="E231" s="64" t="str"/>
      <x:c r="F231" s="64" t="str"/>
      <x:c r="G231" s="64" t="str"/>
      <x:c r="H231" s="64" t="str"/>
    </x:row>
    <x:row r="232">
      <x:c r="A232" s="25" t="str">
        <x:v>110</x:v>
      </x:c>
      <x:c r="B232" s="25" t="str">
        <x:v>Sursalaire</x:v>
      </x:c>
      <x:c r="C232" s="25" t="str">
        <x:v>30</x:v>
      </x:c>
      <x:c r="D232" s="64" t="n">
        <x:f>Lot_paie!L9</x:f>
        <x:v>0</x:v>
      </x:c>
      <x:c r="E232" s="64" t="str"/>
      <x:c r="F232" s="64" t="str"/>
      <x:c r="G232" s="64" t="str"/>
      <x:c r="H232" s="64" t="str"/>
    </x:row>
    <x:row r="233">
      <x:c r="A233" s="25" t="str">
        <x:v>120</x:v>
      </x:c>
      <x:c r="B233" s="25" t="str">
        <x:v>Prime ancienneté</x:v>
      </x:c>
      <x:c r="C233" s="25" t="n">
        <x:f>Lot_paie!U9</x:f>
        <x:v>10</x:v>
      </x:c>
      <x:c r="D233" s="64" t="n">
        <x:f>Lot_paie!X9</x:f>
        <x:v>0</x:v>
      </x:c>
      <x:c r="E233" s="64" t="str"/>
      <x:c r="F233" s="64" t="str"/>
      <x:c r="G233" s="64" t="str"/>
      <x:c r="H233" s="64" t="str"/>
    </x:row>
    <x:row r="234">
      <x:c r="A234" s="25" t="str"/>
      <x:c r="B234" s="24" t="str">
        <x:v>Total brut imposable</x:v>
      </x:c>
      <x:c r="C234" s="24" t="str"/>
      <x:c r="D234" s="76" t="str"/>
      <x:c r="E234" s="76" t="str"/>
      <x:c r="F234" s="76" t="n">
        <x:f>Lot_paie!AA9</x:f>
        <x:v>0</x:v>
      </x:c>
      <x:c r="G234" s="76" t="str"/>
      <x:c r="H234" s="76" t="str"/>
    </x:row>
    <x:row r="235">
      <x:c r="A235" s="25" t="str">
        <x:v>810</x:v>
      </x:c>
      <x:c r="B235" s="25" t="str">
        <x:v>C.N.P.S.</x:v>
      </x:c>
      <x:c r="C235" s="25" t="str"/>
      <x:c r="D235" s="64" t="n">
        <x:f>Lot_paie!AB9</x:f>
        <x:v>0</x:v>
      </x:c>
      <x:c r="E235" s="66" t="n">
        <x:f>Parametres_Paie!$B$4</x:f>
        <x:v>0.063</x:v>
      </x:c>
      <x:c r="F235" s="64" t="n">
        <x:f>Lot_paie!AC9</x:f>
        <x:v>0</x:v>
      </x:c>
      <x:c r="G235" s="66" t="n">
        <x:f>Parametres_Paie!$B$5</x:f>
        <x:v>0.077</x:v>
      </x:c>
      <x:c r="H235" s="64" t="n">
        <x:f>Lot_paie!AH9</x:f>
        <x:v>0</x:v>
      </x:c>
    </x:row>
    <x:row r="236">
      <x:c r="A236" s="25" t="str">
        <x:v>815</x:v>
      </x:c>
      <x:c r="B236" s="25" t="str">
        <x:v>Retenue CMU employé</x:v>
      </x:c>
      <x:c r="C236" s="25" t="str"/>
      <x:c r="D236" s="64" t="n">
        <x:f>Lot_paie!AD9</x:f>
        <x:v>0</x:v>
      </x:c>
      <x:c r="E236" s="64" t="str"/>
      <x:c r="F236" s="64" t="n">
        <x:f>Lot_paie!AD9</x:f>
        <x:v>0</x:v>
      </x:c>
      <x:c r="G236" s="66" t="str"/>
      <x:c r="H236" s="64" t="n">
        <x:f>Lot_paie!AL9</x:f>
        <x:v>0</x:v>
      </x:c>
    </x:row>
    <x:row r="237">
      <x:c r="A237" s="25" t="str">
        <x:v>860</x:v>
      </x:c>
      <x:c r="B237" s="25" t="str">
        <x:v>I.T.S</x:v>
      </x:c>
      <x:c r="C237" s="25" t="str"/>
      <x:c r="D237" s="64" t="n">
        <x:f>Lot_paie!AA9</x:f>
        <x:v>0</x:v>
      </x:c>
      <x:c r="E237" s="64" t="str"/>
      <x:c r="F237" s="64" t="n">
        <x:f>Lot_paie!AF9</x:f>
        <x:v>0</x:v>
      </x:c>
      <x:c r="G237" s="66" t="str"/>
      <x:c r="H237" s="64" t="str"/>
    </x:row>
    <x:row r="238">
      <x:c r="A238" s="25" t="str">
        <x:v>912</x:v>
      </x:c>
      <x:c r="B238" s="25" t="str">
        <x:v>Prestation Familiale</x:v>
      </x:c>
      <x:c r="C238" s="25" t="str"/>
      <x:c r="D238" s="64" t="n">
        <x:f>Parametres_Paie!$B$7</x:f>
        <x:v>75000</x:v>
      </x:c>
      <x:c r="E238" s="64" t="str"/>
      <x:c r="F238" s="64" t="str"/>
      <x:c r="G238" s="66" t="n">
        <x:f>Parametres_Paie!$B$8</x:f>
        <x:v>0.05</x:v>
      </x:c>
      <x:c r="H238" s="64" t="n">
        <x:f>Lot_paie!AI9</x:f>
        <x:v>0</x:v>
      </x:c>
    </x:row>
    <x:row r="239">
      <x:c r="A239" s="25" t="str">
        <x:v>913</x:v>
      </x:c>
      <x:c r="B239" s="25" t="str">
        <x:v>Accident de Travail</x:v>
      </x:c>
      <x:c r="C239" s="25" t="str"/>
      <x:c r="D239" s="64" t="n">
        <x:f>Parametres_Paie!$B$7</x:f>
        <x:v>75000</x:v>
      </x:c>
      <x:c r="E239" s="64" t="str"/>
      <x:c r="F239" s="64" t="str"/>
      <x:c r="G239" s="66" t="n">
        <x:f>Lot_paie!T9</x:f>
        <x:v>0.02</x:v>
      </x:c>
      <x:c r="H239" s="64" t="n">
        <x:f>Lot_paie!AJ9</x:f>
        <x:v>0</x:v>
      </x:c>
    </x:row>
    <x:row r="240">
      <x:c r="A240" s="25" t="str">
        <x:v>914</x:v>
      </x:c>
      <x:c r="B240" s="25" t="str">
        <x:v>Assurance Maternité</x:v>
      </x:c>
      <x:c r="C240" s="25" t="str"/>
      <x:c r="D240" s="64" t="n">
        <x:f>Parametres_Paie!$B$7</x:f>
        <x:v>75000</x:v>
      </x:c>
      <x:c r="E240" s="64" t="str"/>
      <x:c r="F240" s="64" t="str"/>
      <x:c r="G240" s="66" t="n">
        <x:f>Parametres_Paie!$B$9</x:f>
        <x:v>0.0075</x:v>
      </x:c>
      <x:c r="H240" s="64" t="n">
        <x:f>Lot_paie!AK9</x:f>
        <x:v>0</x:v>
      </x:c>
    </x:row>
    <x:row r="241">
      <x:c r="A241" s="25" t="str">
        <x:v>924</x:v>
      </x:c>
      <x:c r="B241" s="25" t="str">
        <x:v>I.S. Employeur Local</x:v>
      </x:c>
      <x:c r="C241" s="25" t="str"/>
      <x:c r="D241" s="64" t="n">
        <x:f>Lot_paie!AA9</x:f>
        <x:v>0</x:v>
      </x:c>
      <x:c r="E241" s="64" t="str"/>
      <x:c r="F241" s="64" t="str"/>
      <x:c r="G241" s="66" t="n">
        <x:f>Parametres_Paie!$B$15</x:f>
        <x:v>0.012</x:v>
      </x:c>
      <x:c r="H241" s="64" t="n">
        <x:f>Lot_paie!AM9</x:f>
        <x:v>0</x:v>
      </x:c>
    </x:row>
    <x:row r="242">
      <x:c r="A242" s="25" t="str">
        <x:v>930</x:v>
      </x:c>
      <x:c r="B242" s="25" t="str">
        <x:v>Taxe d’Apprentissage</x:v>
      </x:c>
      <x:c r="C242" s="25" t="str"/>
      <x:c r="D242" s="64" t="n">
        <x:f>Lot_paie!AA9</x:f>
        <x:v>0</x:v>
      </x:c>
      <x:c r="E242" s="64" t="str"/>
      <x:c r="F242" s="64" t="str"/>
      <x:c r="G242" s="66" t="n">
        <x:f>Parametres_Paie!$B$16</x:f>
        <x:v>0.004</x:v>
      </x:c>
      <x:c r="H242" s="64" t="n">
        <x:f>Lot_paie!AN9</x:f>
        <x:v>0</x:v>
      </x:c>
    </x:row>
    <x:row r="243">
      <x:c r="A243" s="25" t="str">
        <x:v>931</x:v>
      </x:c>
      <x:c r="B243" s="25" t="str">
        <x:v>Taxe Formation Professionnelle Continue</x:v>
      </x:c>
      <x:c r="C243" s="25" t="str"/>
      <x:c r="D243" s="64" t="n">
        <x:f>Lot_paie!AA9</x:f>
        <x:v>0</x:v>
      </x:c>
      <x:c r="E243" s="64" t="str"/>
      <x:c r="F243" s="64" t="str"/>
      <x:c r="G243" s="66" t="n">
        <x:f>Parametres_Paie!$B$17</x:f>
        <x:v>0.006</x:v>
      </x:c>
      <x:c r="H243" s="64" t="n">
        <x:f>Lot_paie!AO9</x:f>
        <x:v>0</x:v>
      </x:c>
    </x:row>
    <x:row r="244">
      <x:c r="A244" s="25" t="str">
        <x:v>932</x:v>
      </x:c>
      <x:c r="B244" s="25" t="str">
        <x:v>Taxe FPC Fin d’année</x:v>
      </x:c>
      <x:c r="C244" s="25" t="str"/>
      <x:c r="D244" s="64" t="n">
        <x:f>Lot_paie!AA9</x:f>
        <x:v>0</x:v>
      </x:c>
      <x:c r="E244" s="64" t="str"/>
      <x:c r="F244" s="64" t="str"/>
      <x:c r="G244" s="66" t="n">
        <x:f>Parametres_Paie!$B$18</x:f>
        <x:v>0.006</x:v>
      </x:c>
      <x:c r="H244" s="64" t="n">
        <x:f>Lot_paie!AP9</x:f>
        <x:v>0</x:v>
      </x:c>
    </x:row>
    <x:row r="245">
      <x:c r="A245" s="25" t="str"/>
      <x:c r="B245" s="83" t="str">
        <x:v>Total retenues fiscales et sociales</x:v>
      </x:c>
      <x:c r="C245" s="83" t="str"/>
      <x:c r="D245" s="84" t="str"/>
      <x:c r="E245" s="84" t="str"/>
      <x:c r="F245" s="84" t="n">
        <x:f>Lot_paie!AG9</x:f>
        <x:v>0</x:v>
      </x:c>
      <x:c r="G245" s="85" t="str"/>
      <x:c r="H245" s="84" t="n">
        <x:f>Lot_paie!AQ9</x:f>
        <x:v>0</x:v>
      </x:c>
    </x:row>
    <x:row r="246">
      <x:c r="A246" s="25" t="str">
        <x:v>204</x:v>
      </x:c>
      <x:c r="B246" s="25" t="str">
        <x:v>Indemnité Transport N. Imposable</x:v>
      </x:c>
      <x:c r="C246" s="25" t="str">
        <x:v>30</x:v>
      </x:c>
      <x:c r="D246" s="64" t="n">
        <x:f>Lot_paie!Y9</x:f>
        <x:v>0</x:v>
      </x:c>
      <x:c r="E246" s="64" t="str"/>
      <x:c r="F246" s="64" t="n">
        <x:f>Lot_paie!Y9</x:f>
        <x:v>0</x:v>
      </x:c>
      <x:c r="G246" s="66" t="str"/>
      <x:c r="H246" s="64" t="str"/>
    </x:row>
    <x:row r="247">
      <x:c r="A247" s="25" t="str"/>
      <x:c r="B247" s="25" t="str">
        <x:v>Total gains non imposables</x:v>
      </x:c>
      <x:c r="C247" s="25" t="str"/>
      <x:c r="D247" s="64" t="str"/>
      <x:c r="E247" s="64" t="str"/>
      <x:c r="F247" s="64" t="n">
        <x:f>Lot_paie!AR9</x:f>
        <x:v>0</x:v>
      </x:c>
      <x:c r="G247" s="66" t="str"/>
      <x:c r="H247" s="64" t="str"/>
    </x:row>
    <x:row r="248">
      <x:c r="A248" s="25" t="str"/>
      <x:c r="B248" s="110" t="str">
        <x:v>NET À PAYER</x:v>
      </x:c>
      <x:c r="C248" s="110" t="str"/>
      <x:c r="D248" s="111" t="str"/>
      <x:c r="E248" s="111" t="str"/>
      <x:c r="F248" s="111" t="str"/>
      <x:c r="G248" s="112" t="str"/>
      <x:c r="H248" s="111" t="n">
        <x:f>Lot_paie!AT9</x:f>
        <x:v>0</x:v>
      </x:c>
    </x:row>
    <x:row r="249">
      <x:c r="A249" s="25"/>
      <x:c r="B249" s="25"/>
      <x:c r="C249" s="25"/>
      <x:c r="D249" s="25"/>
      <x:c r="E249" s="25"/>
      <x:c r="F249" s="25"/>
      <x:c r="G249" s="25"/>
      <x:c r="H249" s="25"/>
    </x:row>
    <x:row r="250">
      <x:c r="A250" s="25"/>
      <x:c r="B250" s="25"/>
      <x:c r="C250" s="25"/>
      <x:c r="D250" s="25"/>
      <x:c r="E250" s="25"/>
      <x:c r="F250" s="25"/>
      <x:c r="G250" s="25"/>
      <x:c r="H250" s="25"/>
    </x:row>
    <x:row r="251">
      <x:c r="A251" s="25"/>
      <x:c r="B251" s="25"/>
      <x:c r="C251" s="25"/>
      <x:c r="D251" s="25"/>
      <x:c r="E251" s="25"/>
      <x:c r="F251" s="25"/>
      <x:c r="G251" s="25"/>
      <x:c r="H251" s="25"/>
    </x:row>
    <x:row r="252">
      <x:c r="A252" s="25"/>
      <x:c r="B252" s="25"/>
      <x:c r="C252" s="25"/>
      <x:c r="D252" s="25"/>
      <x:c r="E252" s="25"/>
      <x:c r="F252" s="25"/>
      <x:c r="G252" s="25"/>
      <x:c r="H252" s="25"/>
    </x:row>
    <x:row r="253">
      <x:c r="A253" s="25"/>
      <x:c r="B253" s="25"/>
      <x:c r="C253" s="25"/>
      <x:c r="D253" s="25"/>
      <x:c r="E253" s="25"/>
      <x:c r="F253" s="25"/>
      <x:c r="G253" s="25"/>
      <x:c r="H253" s="25"/>
    </x:row>
    <x:row r="254">
      <x:c r="A254" s="25"/>
      <x:c r="B254" s="25"/>
      <x:c r="C254" s="25"/>
      <x:c r="D254" s="25"/>
      <x:c r="E254" s="25"/>
      <x:c r="F254" s="25"/>
      <x:c r="G254" s="25"/>
      <x:c r="H254" s="25"/>
    </x:row>
    <x:row r="255">
      <x:c r="A255" s="25"/>
      <x:c r="B255" s="25"/>
      <x:c r="C255" s="25"/>
      <x:c r="D255" s="25"/>
      <x:c r="E255" s="25"/>
      <x:c r="F255" s="25"/>
      <x:c r="G255" s="25"/>
      <x:c r="H255" s="25"/>
    </x:row>
    <x:row r="257">
      <x:c r="A257" s="108" t="str">
        <x:v>BULLETIN DE PAIE – AAEA / AfWASA</x:v>
      </x:c>
      <x:c r="B257" s="108"/>
      <x:c r="C257" s="108"/>
      <x:c r="D257" s="108"/>
      <x:c r="E257" s="108"/>
      <x:c r="F257" s="108"/>
      <x:c r="G257" s="108"/>
      <x:c r="H257" s="108"/>
    </x:row>
    <x:row r="258">
      <x:c r="A258" s="25" t="str">
        <x:v>Matricule</x:v>
      </x:c>
      <x:c r="B258" s="25" t="str">
        <x:f>Lot_paie!A10</x:f>
        <x:v>0028M</x:v>
      </x:c>
      <x:c r="C258" s="25" t="str">
        <x:v>Période</x:v>
      </x:c>
      <x:c r="D258" s="25" t="str">
        <x:f>Parametres_Paie!$B$26</x:f>
        <x:v>Janvier 2025</x:v>
      </x:c>
      <x:c r="E258" s="25" t="str">
        <x:v>Paiement</x:v>
      </x:c>
      <x:c r="F258" s="25" t="n">
        <x:f>Parametres_Paie!$B$25</x:f>
        <x:v>45688</x:v>
      </x:c>
      <x:c r="G258" s="25" t="str"/>
      <x:c r="H258" s="25" t="str"/>
    </x:row>
    <x:row r="259">
      <x:c r="A259" s="25" t="str">
        <x:v>Nom et prénom</x:v>
      </x:c>
      <x:c r="B259" s="25" t="str">
        <x:f>Lot_paie!B10&amp;" "&amp;Lot_paie!C10</x:f>
        <x:v>YAO Kouadio Valentin</x:v>
      </x:c>
      <x:c r="C259" s="25" t="str">
        <x:v>Poste</x:v>
      </x:c>
      <x:c r="D259" s="25" t="str">
        <x:f>Lot_paie!F10</x:f>
        <x:v>Coordonnateur Senior Programme Assainissement en charge de SAO-CWIS</x:v>
      </x:c>
      <x:c r="E259" s="25" t="str">
        <x:v>CNPS</x:v>
      </x:c>
      <x:c r="F259" s="25" t="n">
        <x:f>Lot_paie!J10</x:f>
        <x:v>179011055255</x:v>
      </x:c>
      <x:c r="G259" s="25" t="str"/>
      <x:c r="H259" s="25" t="str"/>
    </x:row>
    <x:row r="260">
      <x:c r="A260" s="25" t="str">
        <x:v>Direction</x:v>
      </x:c>
      <x:c r="B260" s="25" t="str">
        <x:f>Lot_paie!D10</x:f>
        <x:v>Direction des Services aux Membres et des Programmes</x:v>
      </x:c>
      <x:c r="C260" s="25" t="str">
        <x:v>Date entrée</x:v>
      </x:c>
      <x:c r="D260" s="25" t="n">
        <x:f>Lot_paie!I10</x:f>
        <x:v>42005</x:v>
      </x:c>
      <x:c r="E260" s="25" t="str">
        <x:v>Ancienneté</x:v>
      </x:c>
      <x:c r="F260" s="25" t="str">
        <x:f>Lot_paie!V10</x:f>
        <x:v>10 ans (calcul période)</x:v>
      </x:c>
      <x:c r="G260" s="25" t="str"/>
      <x:c r="H260" s="25" t="str"/>
    </x:row>
    <x:row r="261">
      <x:c r="A261" s="25"/>
      <x:c r="B261" s="25"/>
      <x:c r="C261" s="25"/>
      <x:c r="D261" s="25"/>
      <x:c r="E261" s="25"/>
      <x:c r="F261" s="25"/>
      <x:c r="G261" s="25"/>
      <x:c r="H261" s="25"/>
    </x:row>
    <x:row r="262">
      <x:c r="A262" s="14" t="str">
        <x:v>N°</x:v>
      </x:c>
      <x:c r="B262" s="14" t="str">
        <x:v>Désignation</x:v>
      </x:c>
      <x:c r="C262" s="14" t="str">
        <x:v>Nombre</x:v>
      </x:c>
      <x:c r="D262" s="14" t="str">
        <x:v>Base</x:v>
      </x:c>
      <x:c r="E262" s="14" t="str">
        <x:v>Taux Sal.</x:v>
      </x:c>
      <x:c r="F262" s="14" t="str">
        <x:v>Ret. Sal.</x:v>
      </x:c>
      <x:c r="G262" s="14" t="str">
        <x:v>Taux Pat.</x:v>
      </x:c>
      <x:c r="H262" s="14" t="str">
        <x:v>Ret. Pat.</x:v>
      </x:c>
    </x:row>
    <x:row r="263">
      <x:c r="A263" s="25" t="str">
        <x:v>100</x:v>
      </x:c>
      <x:c r="B263" s="25" t="str">
        <x:v>Salaire de base</x:v>
      </x:c>
      <x:c r="C263" s="25" t="str">
        <x:v>30</x:v>
      </x:c>
      <x:c r="D263" s="64" t="n">
        <x:f>Lot_paie!K10</x:f>
        <x:v>0</x:v>
      </x:c>
      <x:c r="E263" s="64" t="str"/>
      <x:c r="F263" s="64" t="str"/>
      <x:c r="G263" s="64" t="str"/>
      <x:c r="H263" s="64" t="str"/>
    </x:row>
    <x:row r="264">
      <x:c r="A264" s="25" t="str">
        <x:v>110</x:v>
      </x:c>
      <x:c r="B264" s="25" t="str">
        <x:v>Sursalaire</x:v>
      </x:c>
      <x:c r="C264" s="25" t="str">
        <x:v>30</x:v>
      </x:c>
      <x:c r="D264" s="64" t="n">
        <x:f>Lot_paie!L10</x:f>
        <x:v>0</x:v>
      </x:c>
      <x:c r="E264" s="64" t="str"/>
      <x:c r="F264" s="64" t="str"/>
      <x:c r="G264" s="64" t="str"/>
      <x:c r="H264" s="64" t="str"/>
    </x:row>
    <x:row r="265">
      <x:c r="A265" s="25" t="str">
        <x:v>120</x:v>
      </x:c>
      <x:c r="B265" s="25" t="str">
        <x:v>Prime ancienneté</x:v>
      </x:c>
      <x:c r="C265" s="25" t="n">
        <x:f>Lot_paie!U10</x:f>
        <x:v>10</x:v>
      </x:c>
      <x:c r="D265" s="64" t="n">
        <x:f>Lot_paie!X10</x:f>
        <x:v>0</x:v>
      </x:c>
      <x:c r="E265" s="64" t="str"/>
      <x:c r="F265" s="64" t="str"/>
      <x:c r="G265" s="64" t="str"/>
      <x:c r="H265" s="64" t="str"/>
    </x:row>
    <x:row r="266">
      <x:c r="A266" s="25" t="str"/>
      <x:c r="B266" s="24" t="str">
        <x:v>Total brut imposable</x:v>
      </x:c>
      <x:c r="C266" s="24" t="str"/>
      <x:c r="D266" s="76" t="str"/>
      <x:c r="E266" s="76" t="str"/>
      <x:c r="F266" s="76" t="n">
        <x:f>Lot_paie!AA10</x:f>
        <x:v>0</x:v>
      </x:c>
      <x:c r="G266" s="76" t="str"/>
      <x:c r="H266" s="76" t="str"/>
    </x:row>
    <x:row r="267">
      <x:c r="A267" s="25" t="str">
        <x:v>810</x:v>
      </x:c>
      <x:c r="B267" s="25" t="str">
        <x:v>C.N.P.S.</x:v>
      </x:c>
      <x:c r="C267" s="25" t="str"/>
      <x:c r="D267" s="64" t="n">
        <x:f>Lot_paie!AB10</x:f>
        <x:v>0</x:v>
      </x:c>
      <x:c r="E267" s="66" t="n">
        <x:f>Parametres_Paie!$B$4</x:f>
        <x:v>0.063</x:v>
      </x:c>
      <x:c r="F267" s="64" t="n">
        <x:f>Lot_paie!AC10</x:f>
        <x:v>0</x:v>
      </x:c>
      <x:c r="G267" s="66" t="n">
        <x:f>Parametres_Paie!$B$5</x:f>
        <x:v>0.077</x:v>
      </x:c>
      <x:c r="H267" s="64" t="n">
        <x:f>Lot_paie!AH10</x:f>
        <x:v>0</x:v>
      </x:c>
    </x:row>
    <x:row r="268">
      <x:c r="A268" s="25" t="str">
        <x:v>815</x:v>
      </x:c>
      <x:c r="B268" s="25" t="str">
        <x:v>Retenue CMU employé</x:v>
      </x:c>
      <x:c r="C268" s="25" t="str"/>
      <x:c r="D268" s="64" t="n">
        <x:f>Lot_paie!AD10</x:f>
        <x:v>0</x:v>
      </x:c>
      <x:c r="E268" s="64" t="str"/>
      <x:c r="F268" s="64" t="n">
        <x:f>Lot_paie!AD10</x:f>
        <x:v>0</x:v>
      </x:c>
      <x:c r="G268" s="66" t="str"/>
      <x:c r="H268" s="64" t="n">
        <x:f>Lot_paie!AL10</x:f>
        <x:v>0</x:v>
      </x:c>
    </x:row>
    <x:row r="269">
      <x:c r="A269" s="25" t="str">
        <x:v>860</x:v>
      </x:c>
      <x:c r="B269" s="25" t="str">
        <x:v>I.T.S</x:v>
      </x:c>
      <x:c r="C269" s="25" t="str"/>
      <x:c r="D269" s="64" t="n">
        <x:f>Lot_paie!AA10</x:f>
        <x:v>0</x:v>
      </x:c>
      <x:c r="E269" s="64" t="str"/>
      <x:c r="F269" s="64" t="n">
        <x:f>Lot_paie!AF10</x:f>
        <x:v>0</x:v>
      </x:c>
      <x:c r="G269" s="66" t="str"/>
      <x:c r="H269" s="64" t="str"/>
    </x:row>
    <x:row r="270">
      <x:c r="A270" s="25" t="str">
        <x:v>912</x:v>
      </x:c>
      <x:c r="B270" s="25" t="str">
        <x:v>Prestation Familiale</x:v>
      </x:c>
      <x:c r="C270" s="25" t="str"/>
      <x:c r="D270" s="64" t="n">
        <x:f>Parametres_Paie!$B$7</x:f>
        <x:v>75000</x:v>
      </x:c>
      <x:c r="E270" s="64" t="str"/>
      <x:c r="F270" s="64" t="str"/>
      <x:c r="G270" s="66" t="n">
        <x:f>Parametres_Paie!$B$8</x:f>
        <x:v>0.05</x:v>
      </x:c>
      <x:c r="H270" s="64" t="n">
        <x:f>Lot_paie!AI10</x:f>
        <x:v>0</x:v>
      </x:c>
    </x:row>
    <x:row r="271">
      <x:c r="A271" s="25" t="str">
        <x:v>913</x:v>
      </x:c>
      <x:c r="B271" s="25" t="str">
        <x:v>Accident de Travail</x:v>
      </x:c>
      <x:c r="C271" s="25" t="str"/>
      <x:c r="D271" s="64" t="n">
        <x:f>Parametres_Paie!$B$7</x:f>
        <x:v>75000</x:v>
      </x:c>
      <x:c r="E271" s="64" t="str"/>
      <x:c r="F271" s="64" t="str"/>
      <x:c r="G271" s="66" t="n">
        <x:f>Lot_paie!T10</x:f>
        <x:v>0.02</x:v>
      </x:c>
      <x:c r="H271" s="64" t="n">
        <x:f>Lot_paie!AJ10</x:f>
        <x:v>0</x:v>
      </x:c>
    </x:row>
    <x:row r="272">
      <x:c r="A272" s="25" t="str">
        <x:v>914</x:v>
      </x:c>
      <x:c r="B272" s="25" t="str">
        <x:v>Assurance Maternité</x:v>
      </x:c>
      <x:c r="C272" s="25" t="str"/>
      <x:c r="D272" s="64" t="n">
        <x:f>Parametres_Paie!$B$7</x:f>
        <x:v>75000</x:v>
      </x:c>
      <x:c r="E272" s="64" t="str"/>
      <x:c r="F272" s="64" t="str"/>
      <x:c r="G272" s="66" t="n">
        <x:f>Parametres_Paie!$B$9</x:f>
        <x:v>0.0075</x:v>
      </x:c>
      <x:c r="H272" s="64" t="n">
        <x:f>Lot_paie!AK10</x:f>
        <x:v>0</x:v>
      </x:c>
    </x:row>
    <x:row r="273">
      <x:c r="A273" s="25" t="str">
        <x:v>924</x:v>
      </x:c>
      <x:c r="B273" s="25" t="str">
        <x:v>I.S. Employeur Local</x:v>
      </x:c>
      <x:c r="C273" s="25" t="str"/>
      <x:c r="D273" s="64" t="n">
        <x:f>Lot_paie!AA10</x:f>
        <x:v>0</x:v>
      </x:c>
      <x:c r="E273" s="64" t="str"/>
      <x:c r="F273" s="64" t="str"/>
      <x:c r="G273" s="66" t="n">
        <x:f>Parametres_Paie!$B$15</x:f>
        <x:v>0.012</x:v>
      </x:c>
      <x:c r="H273" s="64" t="n">
        <x:f>Lot_paie!AM10</x:f>
        <x:v>0</x:v>
      </x:c>
    </x:row>
    <x:row r="274">
      <x:c r="A274" s="25" t="str">
        <x:v>930</x:v>
      </x:c>
      <x:c r="B274" s="25" t="str">
        <x:v>Taxe d’Apprentissage</x:v>
      </x:c>
      <x:c r="C274" s="25" t="str"/>
      <x:c r="D274" s="64" t="n">
        <x:f>Lot_paie!AA10</x:f>
        <x:v>0</x:v>
      </x:c>
      <x:c r="E274" s="64" t="str"/>
      <x:c r="F274" s="64" t="str"/>
      <x:c r="G274" s="66" t="n">
        <x:f>Parametres_Paie!$B$16</x:f>
        <x:v>0.004</x:v>
      </x:c>
      <x:c r="H274" s="64" t="n">
        <x:f>Lot_paie!AN10</x:f>
        <x:v>0</x:v>
      </x:c>
    </x:row>
    <x:row r="275">
      <x:c r="A275" s="25" t="str">
        <x:v>931</x:v>
      </x:c>
      <x:c r="B275" s="25" t="str">
        <x:v>Taxe Formation Professionnelle Continue</x:v>
      </x:c>
      <x:c r="C275" s="25" t="str"/>
      <x:c r="D275" s="64" t="n">
        <x:f>Lot_paie!AA10</x:f>
        <x:v>0</x:v>
      </x:c>
      <x:c r="E275" s="64" t="str"/>
      <x:c r="F275" s="64" t="str"/>
      <x:c r="G275" s="66" t="n">
        <x:f>Parametres_Paie!$B$17</x:f>
        <x:v>0.006</x:v>
      </x:c>
      <x:c r="H275" s="64" t="n">
        <x:f>Lot_paie!AO10</x:f>
        <x:v>0</x:v>
      </x:c>
    </x:row>
    <x:row r="276">
      <x:c r="A276" s="25" t="str">
        <x:v>932</x:v>
      </x:c>
      <x:c r="B276" s="25" t="str">
        <x:v>Taxe FPC Fin d’année</x:v>
      </x:c>
      <x:c r="C276" s="25" t="str"/>
      <x:c r="D276" s="64" t="n">
        <x:f>Lot_paie!AA10</x:f>
        <x:v>0</x:v>
      </x:c>
      <x:c r="E276" s="64" t="str"/>
      <x:c r="F276" s="64" t="str"/>
      <x:c r="G276" s="66" t="n">
        <x:f>Parametres_Paie!$B$18</x:f>
        <x:v>0.006</x:v>
      </x:c>
      <x:c r="H276" s="64" t="n">
        <x:f>Lot_paie!AP10</x:f>
        <x:v>0</x:v>
      </x:c>
    </x:row>
    <x:row r="277">
      <x:c r="A277" s="25" t="str"/>
      <x:c r="B277" s="83" t="str">
        <x:v>Total retenues fiscales et sociales</x:v>
      </x:c>
      <x:c r="C277" s="83" t="str"/>
      <x:c r="D277" s="84" t="str"/>
      <x:c r="E277" s="84" t="str"/>
      <x:c r="F277" s="84" t="n">
        <x:f>Lot_paie!AG10</x:f>
        <x:v>0</x:v>
      </x:c>
      <x:c r="G277" s="85" t="str"/>
      <x:c r="H277" s="84" t="n">
        <x:f>Lot_paie!AQ10</x:f>
        <x:v>0</x:v>
      </x:c>
    </x:row>
    <x:row r="278">
      <x:c r="A278" s="25" t="str">
        <x:v>204</x:v>
      </x:c>
      <x:c r="B278" s="25" t="str">
        <x:v>Indemnité Transport N. Imposable</x:v>
      </x:c>
      <x:c r="C278" s="25" t="str">
        <x:v>30</x:v>
      </x:c>
      <x:c r="D278" s="64" t="n">
        <x:f>Lot_paie!Y10</x:f>
        <x:v>0</x:v>
      </x:c>
      <x:c r="E278" s="64" t="str"/>
      <x:c r="F278" s="64" t="n">
        <x:f>Lot_paie!Y10</x:f>
        <x:v>0</x:v>
      </x:c>
      <x:c r="G278" s="66" t="str"/>
      <x:c r="H278" s="64" t="str"/>
    </x:row>
    <x:row r="279">
      <x:c r="A279" s="25" t="str"/>
      <x:c r="B279" s="25" t="str">
        <x:v>Total gains non imposables</x:v>
      </x:c>
      <x:c r="C279" s="25" t="str"/>
      <x:c r="D279" s="64" t="str"/>
      <x:c r="E279" s="64" t="str"/>
      <x:c r="F279" s="64" t="n">
        <x:f>Lot_paie!AR10</x:f>
        <x:v>0</x:v>
      </x:c>
      <x:c r="G279" s="66" t="str"/>
      <x:c r="H279" s="64" t="str"/>
    </x:row>
    <x:row r="280">
      <x:c r="A280" s="25" t="str"/>
      <x:c r="B280" s="110" t="str">
        <x:v>NET À PAYER</x:v>
      </x:c>
      <x:c r="C280" s="110" t="str"/>
      <x:c r="D280" s="111" t="str"/>
      <x:c r="E280" s="111" t="str"/>
      <x:c r="F280" s="111" t="str"/>
      <x:c r="G280" s="112" t="str"/>
      <x:c r="H280" s="111" t="n">
        <x:f>Lot_paie!AT10</x:f>
        <x:v>0</x:v>
      </x:c>
    </x:row>
    <x:row r="281">
      <x:c r="A281" s="25"/>
      <x:c r="B281" s="25"/>
      <x:c r="C281" s="25"/>
      <x:c r="D281" s="25"/>
      <x:c r="E281" s="25"/>
      <x:c r="F281" s="25"/>
      <x:c r="G281" s="25"/>
      <x:c r="H281" s="25"/>
    </x:row>
    <x:row r="282">
      <x:c r="A282" s="25"/>
      <x:c r="B282" s="25"/>
      <x:c r="C282" s="25"/>
      <x:c r="D282" s="25"/>
      <x:c r="E282" s="25"/>
      <x:c r="F282" s="25"/>
      <x:c r="G282" s="25"/>
      <x:c r="H282" s="25"/>
    </x:row>
    <x:row r="283">
      <x:c r="A283" s="25"/>
      <x:c r="B283" s="25"/>
      <x:c r="C283" s="25"/>
      <x:c r="D283" s="25"/>
      <x:c r="E283" s="25"/>
      <x:c r="F283" s="25"/>
      <x:c r="G283" s="25"/>
      <x:c r="H283" s="25"/>
    </x:row>
    <x:row r="284">
      <x:c r="A284" s="25"/>
      <x:c r="B284" s="25"/>
      <x:c r="C284" s="25"/>
      <x:c r="D284" s="25"/>
      <x:c r="E284" s="25"/>
      <x:c r="F284" s="25"/>
      <x:c r="G284" s="25"/>
      <x:c r="H284" s="25"/>
    </x:row>
    <x:row r="285">
      <x:c r="A285" s="25"/>
      <x:c r="B285" s="25"/>
      <x:c r="C285" s="25"/>
      <x:c r="D285" s="25"/>
      <x:c r="E285" s="25"/>
      <x:c r="F285" s="25"/>
      <x:c r="G285" s="25"/>
      <x:c r="H285" s="25"/>
    </x:row>
    <x:row r="286">
      <x:c r="A286" s="25"/>
      <x:c r="B286" s="25"/>
      <x:c r="C286" s="25"/>
      <x:c r="D286" s="25"/>
      <x:c r="E286" s="25"/>
      <x:c r="F286" s="25"/>
      <x:c r="G286" s="25"/>
      <x:c r="H286" s="25"/>
    </x:row>
    <x:row r="287">
      <x:c r="A287" s="25"/>
      <x:c r="B287" s="25"/>
      <x:c r="C287" s="25"/>
      <x:c r="D287" s="25"/>
      <x:c r="E287" s="25"/>
      <x:c r="F287" s="25"/>
      <x:c r="G287" s="25"/>
      <x:c r="H287" s="25"/>
    </x:row>
    <x:row r="289">
      <x:c r="A289" s="108" t="str">
        <x:v>BULLETIN DE PAIE – AAEA / AfWASA</x:v>
      </x:c>
      <x:c r="B289" s="108"/>
      <x:c r="C289" s="108"/>
      <x:c r="D289" s="108"/>
      <x:c r="E289" s="108"/>
      <x:c r="F289" s="108"/>
      <x:c r="G289" s="108"/>
      <x:c r="H289" s="108"/>
    </x:row>
    <x:row r="290">
      <x:c r="A290" s="25" t="str">
        <x:v>Matricule</x:v>
      </x:c>
      <x:c r="B290" s="25" t="str">
        <x:f>Lot_paie!A11</x:f>
        <x:v>0030E</x:v>
      </x:c>
      <x:c r="C290" s="25" t="str">
        <x:v>Période</x:v>
      </x:c>
      <x:c r="D290" s="25" t="str">
        <x:f>Parametres_Paie!$B$26</x:f>
        <x:v>Janvier 2025</x:v>
      </x:c>
      <x:c r="E290" s="25" t="str">
        <x:v>Paiement</x:v>
      </x:c>
      <x:c r="F290" s="25" t="n">
        <x:f>Parametres_Paie!$B$25</x:f>
        <x:v>45688</x:v>
      </x:c>
      <x:c r="G290" s="25" t="str"/>
      <x:c r="H290" s="25" t="str"/>
    </x:row>
    <x:row r="291">
      <x:c r="A291" s="25" t="str">
        <x:v>Nom et prénom</x:v>
      </x:c>
      <x:c r="B291" s="25" t="str">
        <x:f>Lot_paie!B11&amp;" "&amp;Lot_paie!C11</x:f>
        <x:v>KONE Soumaïla</x:v>
      </x:c>
      <x:c r="C291" s="25" t="str">
        <x:v>Poste</x:v>
      </x:c>
      <x:c r="D291" s="25" t="str">
        <x:f>Lot_paie!F11</x:f>
        <x:v>Chauffeur</x:v>
      </x:c>
      <x:c r="E291" s="25" t="str">
        <x:v>CNPS</x:v>
      </x:c>
      <x:c r="F291" s="25" t="n">
        <x:f>Lot_paie!J11</x:f>
        <x:v>166011711861</x:v>
      </x:c>
      <x:c r="G291" s="25" t="str"/>
      <x:c r="H291" s="25" t="str"/>
    </x:row>
    <x:row r="292">
      <x:c r="A292" s="25" t="str">
        <x:v>Direction</x:v>
      </x:c>
      <x:c r="B292" s="25" t="str">
        <x:f>Lot_paie!D11</x:f>
        <x:v>Cabinet de la Direction Exécutive</x:v>
      </x:c>
      <x:c r="C292" s="25" t="str">
        <x:v>Date entrée</x:v>
      </x:c>
      <x:c r="D292" s="25" t="n">
        <x:f>Lot_paie!I11</x:f>
        <x:v>42064</x:v>
      </x:c>
      <x:c r="E292" s="25" t="str">
        <x:v>Ancienneté</x:v>
      </x:c>
      <x:c r="F292" s="25" t="str">
        <x:f>Lot_paie!V11</x:f>
        <x:v>9 ans (calcul période)</x:v>
      </x:c>
      <x:c r="G292" s="25" t="str"/>
      <x:c r="H292" s="25" t="str"/>
    </x:row>
    <x:row r="293">
      <x:c r="A293" s="25"/>
      <x:c r="B293" s="25"/>
      <x:c r="C293" s="25"/>
      <x:c r="D293" s="25"/>
      <x:c r="E293" s="25"/>
      <x:c r="F293" s="25"/>
      <x:c r="G293" s="25"/>
      <x:c r="H293" s="25"/>
    </x:row>
    <x:row r="294">
      <x:c r="A294" s="14" t="str">
        <x:v>N°</x:v>
      </x:c>
      <x:c r="B294" s="14" t="str">
        <x:v>Désignation</x:v>
      </x:c>
      <x:c r="C294" s="14" t="str">
        <x:v>Nombre</x:v>
      </x:c>
      <x:c r="D294" s="14" t="str">
        <x:v>Base</x:v>
      </x:c>
      <x:c r="E294" s="14" t="str">
        <x:v>Taux Sal.</x:v>
      </x:c>
      <x:c r="F294" s="14" t="str">
        <x:v>Ret. Sal.</x:v>
      </x:c>
      <x:c r="G294" s="14" t="str">
        <x:v>Taux Pat.</x:v>
      </x:c>
      <x:c r="H294" s="14" t="str">
        <x:v>Ret. Pat.</x:v>
      </x:c>
    </x:row>
    <x:row r="295">
      <x:c r="A295" s="25" t="str">
        <x:v>100</x:v>
      </x:c>
      <x:c r="B295" s="25" t="str">
        <x:v>Salaire de base</x:v>
      </x:c>
      <x:c r="C295" s="25" t="str">
        <x:v>30</x:v>
      </x:c>
      <x:c r="D295" s="64" t="n">
        <x:f>Lot_paie!K11</x:f>
        <x:v>0</x:v>
      </x:c>
      <x:c r="E295" s="64" t="str"/>
      <x:c r="F295" s="64" t="str"/>
      <x:c r="G295" s="64" t="str"/>
      <x:c r="H295" s="64" t="str"/>
    </x:row>
    <x:row r="296">
      <x:c r="A296" s="25" t="str">
        <x:v>110</x:v>
      </x:c>
      <x:c r="B296" s="25" t="str">
        <x:v>Sursalaire</x:v>
      </x:c>
      <x:c r="C296" s="25" t="str">
        <x:v>30</x:v>
      </x:c>
      <x:c r="D296" s="64" t="n">
        <x:f>Lot_paie!L11</x:f>
        <x:v>0</x:v>
      </x:c>
      <x:c r="E296" s="64" t="str"/>
      <x:c r="F296" s="64" t="str"/>
      <x:c r="G296" s="64" t="str"/>
      <x:c r="H296" s="64" t="str"/>
    </x:row>
    <x:row r="297">
      <x:c r="A297" s="25" t="str">
        <x:v>120</x:v>
      </x:c>
      <x:c r="B297" s="25" t="str">
        <x:v>Prime ancienneté</x:v>
      </x:c>
      <x:c r="C297" s="25" t="n">
        <x:f>Lot_paie!U11</x:f>
        <x:v>9</x:v>
      </x:c>
      <x:c r="D297" s="64" t="n">
        <x:f>Lot_paie!X11</x:f>
        <x:v>0</x:v>
      </x:c>
      <x:c r="E297" s="64" t="str"/>
      <x:c r="F297" s="64" t="str"/>
      <x:c r="G297" s="64" t="str"/>
      <x:c r="H297" s="64" t="str"/>
    </x:row>
    <x:row r="298">
      <x:c r="A298" s="25" t="str"/>
      <x:c r="B298" s="24" t="str">
        <x:v>Total brut imposable</x:v>
      </x:c>
      <x:c r="C298" s="24" t="str"/>
      <x:c r="D298" s="76" t="str"/>
      <x:c r="E298" s="76" t="str"/>
      <x:c r="F298" s="76" t="n">
        <x:f>Lot_paie!AA11</x:f>
        <x:v>0</x:v>
      </x:c>
      <x:c r="G298" s="76" t="str"/>
      <x:c r="H298" s="76" t="str"/>
    </x:row>
    <x:row r="299">
      <x:c r="A299" s="25" t="str">
        <x:v>810</x:v>
      </x:c>
      <x:c r="B299" s="25" t="str">
        <x:v>C.N.P.S.</x:v>
      </x:c>
      <x:c r="C299" s="25" t="str"/>
      <x:c r="D299" s="64" t="n">
        <x:f>Lot_paie!AB11</x:f>
        <x:v>0</x:v>
      </x:c>
      <x:c r="E299" s="66" t="n">
        <x:f>Parametres_Paie!$B$4</x:f>
        <x:v>0.063</x:v>
      </x:c>
      <x:c r="F299" s="64" t="n">
        <x:f>Lot_paie!AC11</x:f>
        <x:v>0</x:v>
      </x:c>
      <x:c r="G299" s="66" t="n">
        <x:f>Parametres_Paie!$B$5</x:f>
        <x:v>0.077</x:v>
      </x:c>
      <x:c r="H299" s="64" t="n">
        <x:f>Lot_paie!AH11</x:f>
        <x:v>0</x:v>
      </x:c>
    </x:row>
    <x:row r="300">
      <x:c r="A300" s="25" t="str">
        <x:v>815</x:v>
      </x:c>
      <x:c r="B300" s="25" t="str">
        <x:v>Retenue CMU employé</x:v>
      </x:c>
      <x:c r="C300" s="25" t="str"/>
      <x:c r="D300" s="64" t="n">
        <x:f>Lot_paie!AD11</x:f>
        <x:v>0</x:v>
      </x:c>
      <x:c r="E300" s="64" t="str"/>
      <x:c r="F300" s="64" t="n">
        <x:f>Lot_paie!AD11</x:f>
        <x:v>0</x:v>
      </x:c>
      <x:c r="G300" s="66" t="str"/>
      <x:c r="H300" s="64" t="n">
        <x:f>Lot_paie!AL11</x:f>
        <x:v>0</x:v>
      </x:c>
    </x:row>
    <x:row r="301">
      <x:c r="A301" s="25" t="str">
        <x:v>860</x:v>
      </x:c>
      <x:c r="B301" s="25" t="str">
        <x:v>I.T.S</x:v>
      </x:c>
      <x:c r="C301" s="25" t="str"/>
      <x:c r="D301" s="64" t="n">
        <x:f>Lot_paie!AA11</x:f>
        <x:v>0</x:v>
      </x:c>
      <x:c r="E301" s="64" t="str"/>
      <x:c r="F301" s="64" t="n">
        <x:f>Lot_paie!AF11</x:f>
        <x:v>0</x:v>
      </x:c>
      <x:c r="G301" s="66" t="str"/>
      <x:c r="H301" s="64" t="str"/>
    </x:row>
    <x:row r="302">
      <x:c r="A302" s="25" t="str">
        <x:v>912</x:v>
      </x:c>
      <x:c r="B302" s="25" t="str">
        <x:v>Prestation Familiale</x:v>
      </x:c>
      <x:c r="C302" s="25" t="str"/>
      <x:c r="D302" s="64" t="n">
        <x:f>Parametres_Paie!$B$7</x:f>
        <x:v>75000</x:v>
      </x:c>
      <x:c r="E302" s="64" t="str"/>
      <x:c r="F302" s="64" t="str"/>
      <x:c r="G302" s="66" t="n">
        <x:f>Parametres_Paie!$B$8</x:f>
        <x:v>0.05</x:v>
      </x:c>
      <x:c r="H302" s="64" t="n">
        <x:f>Lot_paie!AI11</x:f>
        <x:v>0</x:v>
      </x:c>
    </x:row>
    <x:row r="303">
      <x:c r="A303" s="25" t="str">
        <x:v>913</x:v>
      </x:c>
      <x:c r="B303" s="25" t="str">
        <x:v>Accident de Travail</x:v>
      </x:c>
      <x:c r="C303" s="25" t="str"/>
      <x:c r="D303" s="64" t="n">
        <x:f>Parametres_Paie!$B$7</x:f>
        <x:v>75000</x:v>
      </x:c>
      <x:c r="E303" s="64" t="str"/>
      <x:c r="F303" s="64" t="str"/>
      <x:c r="G303" s="66" t="n">
        <x:f>Lot_paie!T11</x:f>
        <x:v>0.02</x:v>
      </x:c>
      <x:c r="H303" s="64" t="n">
        <x:f>Lot_paie!AJ11</x:f>
        <x:v>0</x:v>
      </x:c>
    </x:row>
    <x:row r="304">
      <x:c r="A304" s="25" t="str">
        <x:v>914</x:v>
      </x:c>
      <x:c r="B304" s="25" t="str">
        <x:v>Assurance Maternité</x:v>
      </x:c>
      <x:c r="C304" s="25" t="str"/>
      <x:c r="D304" s="64" t="n">
        <x:f>Parametres_Paie!$B$7</x:f>
        <x:v>75000</x:v>
      </x:c>
      <x:c r="E304" s="64" t="str"/>
      <x:c r="F304" s="64" t="str"/>
      <x:c r="G304" s="66" t="n">
        <x:f>Parametres_Paie!$B$9</x:f>
        <x:v>0.0075</x:v>
      </x:c>
      <x:c r="H304" s="64" t="n">
        <x:f>Lot_paie!AK11</x:f>
        <x:v>0</x:v>
      </x:c>
    </x:row>
    <x:row r="305">
      <x:c r="A305" s="25" t="str">
        <x:v>924</x:v>
      </x:c>
      <x:c r="B305" s="25" t="str">
        <x:v>I.S. Employeur Local</x:v>
      </x:c>
      <x:c r="C305" s="25" t="str"/>
      <x:c r="D305" s="64" t="n">
        <x:f>Lot_paie!AA11</x:f>
        <x:v>0</x:v>
      </x:c>
      <x:c r="E305" s="64" t="str"/>
      <x:c r="F305" s="64" t="str"/>
      <x:c r="G305" s="66" t="n">
        <x:f>Parametres_Paie!$B$15</x:f>
        <x:v>0.012</x:v>
      </x:c>
      <x:c r="H305" s="64" t="n">
        <x:f>Lot_paie!AM11</x:f>
        <x:v>0</x:v>
      </x:c>
    </x:row>
    <x:row r="306">
      <x:c r="A306" s="25" t="str">
        <x:v>930</x:v>
      </x:c>
      <x:c r="B306" s="25" t="str">
        <x:v>Taxe d’Apprentissage</x:v>
      </x:c>
      <x:c r="C306" s="25" t="str"/>
      <x:c r="D306" s="64" t="n">
        <x:f>Lot_paie!AA11</x:f>
        <x:v>0</x:v>
      </x:c>
      <x:c r="E306" s="64" t="str"/>
      <x:c r="F306" s="64" t="str"/>
      <x:c r="G306" s="66" t="n">
        <x:f>Parametres_Paie!$B$16</x:f>
        <x:v>0.004</x:v>
      </x:c>
      <x:c r="H306" s="64" t="n">
        <x:f>Lot_paie!AN11</x:f>
        <x:v>0</x:v>
      </x:c>
    </x:row>
    <x:row r="307">
      <x:c r="A307" s="25" t="str">
        <x:v>931</x:v>
      </x:c>
      <x:c r="B307" s="25" t="str">
        <x:v>Taxe Formation Professionnelle Continue</x:v>
      </x:c>
      <x:c r="C307" s="25" t="str"/>
      <x:c r="D307" s="64" t="n">
        <x:f>Lot_paie!AA11</x:f>
        <x:v>0</x:v>
      </x:c>
      <x:c r="E307" s="64" t="str"/>
      <x:c r="F307" s="64" t="str"/>
      <x:c r="G307" s="66" t="n">
        <x:f>Parametres_Paie!$B$17</x:f>
        <x:v>0.006</x:v>
      </x:c>
      <x:c r="H307" s="64" t="n">
        <x:f>Lot_paie!AO11</x:f>
        <x:v>0</x:v>
      </x:c>
    </x:row>
    <x:row r="308">
      <x:c r="A308" s="25" t="str">
        <x:v>932</x:v>
      </x:c>
      <x:c r="B308" s="25" t="str">
        <x:v>Taxe FPC Fin d’année</x:v>
      </x:c>
      <x:c r="C308" s="25" t="str"/>
      <x:c r="D308" s="64" t="n">
        <x:f>Lot_paie!AA11</x:f>
        <x:v>0</x:v>
      </x:c>
      <x:c r="E308" s="64" t="str"/>
      <x:c r="F308" s="64" t="str"/>
      <x:c r="G308" s="66" t="n">
        <x:f>Parametres_Paie!$B$18</x:f>
        <x:v>0.006</x:v>
      </x:c>
      <x:c r="H308" s="64" t="n">
        <x:f>Lot_paie!AP11</x:f>
        <x:v>0</x:v>
      </x:c>
    </x:row>
    <x:row r="309">
      <x:c r="A309" s="25" t="str"/>
      <x:c r="B309" s="83" t="str">
        <x:v>Total retenues fiscales et sociales</x:v>
      </x:c>
      <x:c r="C309" s="83" t="str"/>
      <x:c r="D309" s="84" t="str"/>
      <x:c r="E309" s="84" t="str"/>
      <x:c r="F309" s="84" t="n">
        <x:f>Lot_paie!AG11</x:f>
        <x:v>0</x:v>
      </x:c>
      <x:c r="G309" s="85" t="str"/>
      <x:c r="H309" s="84" t="n">
        <x:f>Lot_paie!AQ11</x:f>
        <x:v>0</x:v>
      </x:c>
    </x:row>
    <x:row r="310">
      <x:c r="A310" s="25" t="str">
        <x:v>204</x:v>
      </x:c>
      <x:c r="B310" s="25" t="str">
        <x:v>Indemnité Transport N. Imposable</x:v>
      </x:c>
      <x:c r="C310" s="25" t="str">
        <x:v>30</x:v>
      </x:c>
      <x:c r="D310" s="64" t="n">
        <x:f>Lot_paie!Y11</x:f>
        <x:v>0</x:v>
      </x:c>
      <x:c r="E310" s="64" t="str"/>
      <x:c r="F310" s="64" t="n">
        <x:f>Lot_paie!Y11</x:f>
        <x:v>0</x:v>
      </x:c>
      <x:c r="G310" s="66" t="str"/>
      <x:c r="H310" s="64" t="str"/>
    </x:row>
    <x:row r="311">
      <x:c r="A311" s="25" t="str"/>
      <x:c r="B311" s="25" t="str">
        <x:v>Total gains non imposables</x:v>
      </x:c>
      <x:c r="C311" s="25" t="str"/>
      <x:c r="D311" s="64" t="str"/>
      <x:c r="E311" s="64" t="str"/>
      <x:c r="F311" s="64" t="n">
        <x:f>Lot_paie!AR11</x:f>
        <x:v>0</x:v>
      </x:c>
      <x:c r="G311" s="66" t="str"/>
      <x:c r="H311" s="64" t="str"/>
    </x:row>
    <x:row r="312">
      <x:c r="A312" s="25" t="str"/>
      <x:c r="B312" s="110" t="str">
        <x:v>NET À PAYER</x:v>
      </x:c>
      <x:c r="C312" s="110" t="str"/>
      <x:c r="D312" s="111" t="str"/>
      <x:c r="E312" s="111" t="str"/>
      <x:c r="F312" s="111" t="str"/>
      <x:c r="G312" s="112" t="str"/>
      <x:c r="H312" s="111" t="n">
        <x:f>Lot_paie!AT11</x:f>
        <x:v>0</x:v>
      </x:c>
    </x:row>
    <x:row r="313">
      <x:c r="A313" s="25"/>
      <x:c r="B313" s="25"/>
      <x:c r="C313" s="25"/>
      <x:c r="D313" s="25"/>
      <x:c r="E313" s="25"/>
      <x:c r="F313" s="25"/>
      <x:c r="G313" s="25"/>
      <x:c r="H313" s="25"/>
    </x:row>
    <x:row r="314">
      <x:c r="A314" s="25"/>
      <x:c r="B314" s="25"/>
      <x:c r="C314" s="25"/>
      <x:c r="D314" s="25"/>
      <x:c r="E314" s="25"/>
      <x:c r="F314" s="25"/>
      <x:c r="G314" s="25"/>
      <x:c r="H314" s="25"/>
    </x:row>
    <x:row r="315">
      <x:c r="A315" s="25"/>
      <x:c r="B315" s="25"/>
      <x:c r="C315" s="25"/>
      <x:c r="D315" s="25"/>
      <x:c r="E315" s="25"/>
      <x:c r="F315" s="25"/>
      <x:c r="G315" s="25"/>
      <x:c r="H315" s="25"/>
    </x:row>
    <x:row r="316">
      <x:c r="A316" s="25"/>
      <x:c r="B316" s="25"/>
      <x:c r="C316" s="25"/>
      <x:c r="D316" s="25"/>
      <x:c r="E316" s="25"/>
      <x:c r="F316" s="25"/>
      <x:c r="G316" s="25"/>
      <x:c r="H316" s="25"/>
    </x:row>
    <x:row r="317">
      <x:c r="A317" s="25"/>
      <x:c r="B317" s="25"/>
      <x:c r="C317" s="25"/>
      <x:c r="D317" s="25"/>
      <x:c r="E317" s="25"/>
      <x:c r="F317" s="25"/>
      <x:c r="G317" s="25"/>
      <x:c r="H317" s="25"/>
    </x:row>
    <x:row r="318">
      <x:c r="A318" s="25"/>
      <x:c r="B318" s="25"/>
      <x:c r="C318" s="25"/>
      <x:c r="D318" s="25"/>
      <x:c r="E318" s="25"/>
      <x:c r="F318" s="25"/>
      <x:c r="G318" s="25"/>
      <x:c r="H318" s="25"/>
    </x:row>
    <x:row r="319">
      <x:c r="A319" s="25"/>
      <x:c r="B319" s="25"/>
      <x:c r="C319" s="25"/>
      <x:c r="D319" s="25"/>
      <x:c r="E319" s="25"/>
      <x:c r="F319" s="25"/>
      <x:c r="G319" s="25"/>
      <x:c r="H319" s="25"/>
    </x:row>
    <x:row r="321">
      <x:c r="A321" s="108" t="str">
        <x:v>BULLETIN DE PAIE – AAEA / AfWASA</x:v>
      </x:c>
      <x:c r="B321" s="108"/>
      <x:c r="C321" s="108"/>
      <x:c r="D321" s="108"/>
      <x:c r="E321" s="108"/>
      <x:c r="F321" s="108"/>
      <x:c r="G321" s="108"/>
      <x:c r="H321" s="108"/>
    </x:row>
    <x:row r="322">
      <x:c r="A322" s="25" t="str">
        <x:v>Matricule</x:v>
      </x:c>
      <x:c r="B322" s="25" t="str">
        <x:f>Lot_paie!A12</x:f>
        <x:v>0032F</x:v>
      </x:c>
      <x:c r="C322" s="25" t="str">
        <x:v>Période</x:v>
      </x:c>
      <x:c r="D322" s="25" t="str">
        <x:f>Parametres_Paie!$B$26</x:f>
        <x:v>Janvier 2025</x:v>
      </x:c>
      <x:c r="E322" s="25" t="str">
        <x:v>Paiement</x:v>
      </x:c>
      <x:c r="F322" s="25" t="n">
        <x:f>Parametres_Paie!$B$25</x:f>
        <x:v>45688</x:v>
      </x:c>
      <x:c r="G322" s="25" t="str"/>
      <x:c r="H322" s="25" t="str"/>
    </x:row>
    <x:row r="323">
      <x:c r="A323" s="25" t="str">
        <x:v>Nom et prénom</x:v>
      </x:c>
      <x:c r="B323" s="25" t="str">
        <x:f>Lot_paie!B12&amp;" "&amp;Lot_paie!C12</x:f>
        <x:v>TIHI SEA Drissehonnon Vanessa</x:v>
      </x:c>
      <x:c r="C323" s="25" t="str">
        <x:v>Poste</x:v>
      </x:c>
      <x:c r="D323" s="25" t="str">
        <x:f>Lot_paie!F12</x:f>
        <x:v>Comptable Senior en Charge de la Trésorerie</x:v>
      </x:c>
      <x:c r="E323" s="25" t="str">
        <x:v>CNPS</x:v>
      </x:c>
      <x:c r="F323" s="25" t="n">
        <x:f>Lot_paie!J12</x:f>
        <x:v>289011732370</x:v>
      </x:c>
      <x:c r="G323" s="25" t="str"/>
      <x:c r="H323" s="25" t="str"/>
    </x:row>
    <x:row r="324">
      <x:c r="A324" s="25" t="str">
        <x:v>Direction</x:v>
      </x:c>
      <x:c r="B324" s="25" t="str">
        <x:f>Lot_paie!D12</x:f>
        <x:v>Direction Administrative et Financière</x:v>
      </x:c>
      <x:c r="C324" s="25" t="str">
        <x:v>Date entrée</x:v>
      </x:c>
      <x:c r="D324" s="25" t="n">
        <x:f>Lot_paie!I12</x:f>
        <x:v>42401</x:v>
      </x:c>
      <x:c r="E324" s="25" t="str">
        <x:v>Ancienneté</x:v>
      </x:c>
      <x:c r="F324" s="25" t="str">
        <x:f>Lot_paie!V12</x:f>
        <x:v>8 ans (calcul période)</x:v>
      </x:c>
      <x:c r="G324" s="25" t="str"/>
      <x:c r="H324" s="25" t="str"/>
    </x:row>
    <x:row r="325">
      <x:c r="A325" s="25"/>
      <x:c r="B325" s="25"/>
      <x:c r="C325" s="25"/>
      <x:c r="D325" s="25"/>
      <x:c r="E325" s="25"/>
      <x:c r="F325" s="25"/>
      <x:c r="G325" s="25"/>
      <x:c r="H325" s="25"/>
    </x:row>
    <x:row r="326">
      <x:c r="A326" s="14" t="str">
        <x:v>N°</x:v>
      </x:c>
      <x:c r="B326" s="14" t="str">
        <x:v>Désignation</x:v>
      </x:c>
      <x:c r="C326" s="14" t="str">
        <x:v>Nombre</x:v>
      </x:c>
      <x:c r="D326" s="14" t="str">
        <x:v>Base</x:v>
      </x:c>
      <x:c r="E326" s="14" t="str">
        <x:v>Taux Sal.</x:v>
      </x:c>
      <x:c r="F326" s="14" t="str">
        <x:v>Ret. Sal.</x:v>
      </x:c>
      <x:c r="G326" s="14" t="str">
        <x:v>Taux Pat.</x:v>
      </x:c>
      <x:c r="H326" s="14" t="str">
        <x:v>Ret. Pat.</x:v>
      </x:c>
    </x:row>
    <x:row r="327">
      <x:c r="A327" s="25" t="str">
        <x:v>100</x:v>
      </x:c>
      <x:c r="B327" s="25" t="str">
        <x:v>Salaire de base</x:v>
      </x:c>
      <x:c r="C327" s="25" t="str">
        <x:v>30</x:v>
      </x:c>
      <x:c r="D327" s="64" t="n">
        <x:f>Lot_paie!K12</x:f>
        <x:v>0</x:v>
      </x:c>
      <x:c r="E327" s="64" t="str"/>
      <x:c r="F327" s="64" t="str"/>
      <x:c r="G327" s="64" t="str"/>
      <x:c r="H327" s="64" t="str"/>
    </x:row>
    <x:row r="328">
      <x:c r="A328" s="25" t="str">
        <x:v>110</x:v>
      </x:c>
      <x:c r="B328" s="25" t="str">
        <x:v>Sursalaire</x:v>
      </x:c>
      <x:c r="C328" s="25" t="str">
        <x:v>30</x:v>
      </x:c>
      <x:c r="D328" s="64" t="n">
        <x:f>Lot_paie!L12</x:f>
        <x:v>0</x:v>
      </x:c>
      <x:c r="E328" s="64" t="str"/>
      <x:c r="F328" s="64" t="str"/>
      <x:c r="G328" s="64" t="str"/>
      <x:c r="H328" s="64" t="str"/>
    </x:row>
    <x:row r="329">
      <x:c r="A329" s="25" t="str">
        <x:v>120</x:v>
      </x:c>
      <x:c r="B329" s="25" t="str">
        <x:v>Prime ancienneté</x:v>
      </x:c>
      <x:c r="C329" s="25" t="n">
        <x:f>Lot_paie!U12</x:f>
        <x:v>8</x:v>
      </x:c>
      <x:c r="D329" s="64" t="n">
        <x:f>Lot_paie!X12</x:f>
        <x:v>0</x:v>
      </x:c>
      <x:c r="E329" s="64" t="str"/>
      <x:c r="F329" s="64" t="str"/>
      <x:c r="G329" s="64" t="str"/>
      <x:c r="H329" s="64" t="str"/>
    </x:row>
    <x:row r="330">
      <x:c r="A330" s="25" t="str"/>
      <x:c r="B330" s="24" t="str">
        <x:v>Total brut imposable</x:v>
      </x:c>
      <x:c r="C330" s="24" t="str"/>
      <x:c r="D330" s="76" t="str"/>
      <x:c r="E330" s="76" t="str"/>
      <x:c r="F330" s="76" t="n">
        <x:f>Lot_paie!AA12</x:f>
        <x:v>0</x:v>
      </x:c>
      <x:c r="G330" s="76" t="str"/>
      <x:c r="H330" s="76" t="str"/>
    </x:row>
    <x:row r="331">
      <x:c r="A331" s="25" t="str">
        <x:v>810</x:v>
      </x:c>
      <x:c r="B331" s="25" t="str">
        <x:v>C.N.P.S.</x:v>
      </x:c>
      <x:c r="C331" s="25" t="str"/>
      <x:c r="D331" s="64" t="n">
        <x:f>Lot_paie!AB12</x:f>
        <x:v>0</x:v>
      </x:c>
      <x:c r="E331" s="66" t="n">
        <x:f>Parametres_Paie!$B$4</x:f>
        <x:v>0.063</x:v>
      </x:c>
      <x:c r="F331" s="64" t="n">
        <x:f>Lot_paie!AC12</x:f>
        <x:v>0</x:v>
      </x:c>
      <x:c r="G331" s="66" t="n">
        <x:f>Parametres_Paie!$B$5</x:f>
        <x:v>0.077</x:v>
      </x:c>
      <x:c r="H331" s="64" t="n">
        <x:f>Lot_paie!AH12</x:f>
        <x:v>0</x:v>
      </x:c>
    </x:row>
    <x:row r="332">
      <x:c r="A332" s="25" t="str">
        <x:v>815</x:v>
      </x:c>
      <x:c r="B332" s="25" t="str">
        <x:v>Retenue CMU employé</x:v>
      </x:c>
      <x:c r="C332" s="25" t="str"/>
      <x:c r="D332" s="64" t="n">
        <x:f>Lot_paie!AD12</x:f>
        <x:v>0</x:v>
      </x:c>
      <x:c r="E332" s="64" t="str"/>
      <x:c r="F332" s="64" t="n">
        <x:f>Lot_paie!AD12</x:f>
        <x:v>0</x:v>
      </x:c>
      <x:c r="G332" s="66" t="str"/>
      <x:c r="H332" s="64" t="n">
        <x:f>Lot_paie!AL12</x:f>
        <x:v>0</x:v>
      </x:c>
    </x:row>
    <x:row r="333">
      <x:c r="A333" s="25" t="str">
        <x:v>860</x:v>
      </x:c>
      <x:c r="B333" s="25" t="str">
        <x:v>I.T.S</x:v>
      </x:c>
      <x:c r="C333" s="25" t="str"/>
      <x:c r="D333" s="64" t="n">
        <x:f>Lot_paie!AA12</x:f>
        <x:v>0</x:v>
      </x:c>
      <x:c r="E333" s="64" t="str"/>
      <x:c r="F333" s="64" t="n">
        <x:f>Lot_paie!AF12</x:f>
        <x:v>0</x:v>
      </x:c>
      <x:c r="G333" s="66" t="str"/>
      <x:c r="H333" s="64" t="str"/>
    </x:row>
    <x:row r="334">
      <x:c r="A334" s="25" t="str">
        <x:v>912</x:v>
      </x:c>
      <x:c r="B334" s="25" t="str">
        <x:v>Prestation Familiale</x:v>
      </x:c>
      <x:c r="C334" s="25" t="str"/>
      <x:c r="D334" s="64" t="n">
        <x:f>Parametres_Paie!$B$7</x:f>
        <x:v>75000</x:v>
      </x:c>
      <x:c r="E334" s="64" t="str"/>
      <x:c r="F334" s="64" t="str"/>
      <x:c r="G334" s="66" t="n">
        <x:f>Parametres_Paie!$B$8</x:f>
        <x:v>0.05</x:v>
      </x:c>
      <x:c r="H334" s="64" t="n">
        <x:f>Lot_paie!AI12</x:f>
        <x:v>0</x:v>
      </x:c>
    </x:row>
    <x:row r="335">
      <x:c r="A335" s="25" t="str">
        <x:v>913</x:v>
      </x:c>
      <x:c r="B335" s="25" t="str">
        <x:v>Accident de Travail</x:v>
      </x:c>
      <x:c r="C335" s="25" t="str"/>
      <x:c r="D335" s="64" t="n">
        <x:f>Parametres_Paie!$B$7</x:f>
        <x:v>75000</x:v>
      </x:c>
      <x:c r="E335" s="64" t="str"/>
      <x:c r="F335" s="64" t="str"/>
      <x:c r="G335" s="66" t="n">
        <x:f>Lot_paie!T12</x:f>
        <x:v>0.02</x:v>
      </x:c>
      <x:c r="H335" s="64" t="n">
        <x:f>Lot_paie!AJ12</x:f>
        <x:v>0</x:v>
      </x:c>
    </x:row>
    <x:row r="336">
      <x:c r="A336" s="25" t="str">
        <x:v>914</x:v>
      </x:c>
      <x:c r="B336" s="25" t="str">
        <x:v>Assurance Maternité</x:v>
      </x:c>
      <x:c r="C336" s="25" t="str"/>
      <x:c r="D336" s="64" t="n">
        <x:f>Parametres_Paie!$B$7</x:f>
        <x:v>75000</x:v>
      </x:c>
      <x:c r="E336" s="64" t="str"/>
      <x:c r="F336" s="64" t="str"/>
      <x:c r="G336" s="66" t="n">
        <x:f>Parametres_Paie!$B$9</x:f>
        <x:v>0.0075</x:v>
      </x:c>
      <x:c r="H336" s="64" t="n">
        <x:f>Lot_paie!AK12</x:f>
        <x:v>0</x:v>
      </x:c>
    </x:row>
    <x:row r="337">
      <x:c r="A337" s="25" t="str">
        <x:v>924</x:v>
      </x:c>
      <x:c r="B337" s="25" t="str">
        <x:v>I.S. Employeur Local</x:v>
      </x:c>
      <x:c r="C337" s="25" t="str"/>
      <x:c r="D337" s="64" t="n">
        <x:f>Lot_paie!AA12</x:f>
        <x:v>0</x:v>
      </x:c>
      <x:c r="E337" s="64" t="str"/>
      <x:c r="F337" s="64" t="str"/>
      <x:c r="G337" s="66" t="n">
        <x:f>Parametres_Paie!$B$15</x:f>
        <x:v>0.012</x:v>
      </x:c>
      <x:c r="H337" s="64" t="n">
        <x:f>Lot_paie!AM12</x:f>
        <x:v>0</x:v>
      </x:c>
    </x:row>
    <x:row r="338">
      <x:c r="A338" s="25" t="str">
        <x:v>930</x:v>
      </x:c>
      <x:c r="B338" s="25" t="str">
        <x:v>Taxe d’Apprentissage</x:v>
      </x:c>
      <x:c r="C338" s="25" t="str"/>
      <x:c r="D338" s="64" t="n">
        <x:f>Lot_paie!AA12</x:f>
        <x:v>0</x:v>
      </x:c>
      <x:c r="E338" s="64" t="str"/>
      <x:c r="F338" s="64" t="str"/>
      <x:c r="G338" s="66" t="n">
        <x:f>Parametres_Paie!$B$16</x:f>
        <x:v>0.004</x:v>
      </x:c>
      <x:c r="H338" s="64" t="n">
        <x:f>Lot_paie!AN12</x:f>
        <x:v>0</x:v>
      </x:c>
    </x:row>
    <x:row r="339">
      <x:c r="A339" s="25" t="str">
        <x:v>931</x:v>
      </x:c>
      <x:c r="B339" s="25" t="str">
        <x:v>Taxe Formation Professionnelle Continue</x:v>
      </x:c>
      <x:c r="C339" s="25" t="str"/>
      <x:c r="D339" s="64" t="n">
        <x:f>Lot_paie!AA12</x:f>
        <x:v>0</x:v>
      </x:c>
      <x:c r="E339" s="64" t="str"/>
      <x:c r="F339" s="64" t="str"/>
      <x:c r="G339" s="66" t="n">
        <x:f>Parametres_Paie!$B$17</x:f>
        <x:v>0.006</x:v>
      </x:c>
      <x:c r="H339" s="64" t="n">
        <x:f>Lot_paie!AO12</x:f>
        <x:v>0</x:v>
      </x:c>
    </x:row>
    <x:row r="340">
      <x:c r="A340" s="25" t="str">
        <x:v>932</x:v>
      </x:c>
      <x:c r="B340" s="25" t="str">
        <x:v>Taxe FPC Fin d’année</x:v>
      </x:c>
      <x:c r="C340" s="25" t="str"/>
      <x:c r="D340" s="64" t="n">
        <x:f>Lot_paie!AA12</x:f>
        <x:v>0</x:v>
      </x:c>
      <x:c r="E340" s="64" t="str"/>
      <x:c r="F340" s="64" t="str"/>
      <x:c r="G340" s="66" t="n">
        <x:f>Parametres_Paie!$B$18</x:f>
        <x:v>0.006</x:v>
      </x:c>
      <x:c r="H340" s="64" t="n">
        <x:f>Lot_paie!AP12</x:f>
        <x:v>0</x:v>
      </x:c>
    </x:row>
    <x:row r="341">
      <x:c r="A341" s="25" t="str"/>
      <x:c r="B341" s="83" t="str">
        <x:v>Total retenues fiscales et sociales</x:v>
      </x:c>
      <x:c r="C341" s="83" t="str"/>
      <x:c r="D341" s="84" t="str"/>
      <x:c r="E341" s="84" t="str"/>
      <x:c r="F341" s="84" t="n">
        <x:f>Lot_paie!AG12</x:f>
        <x:v>0</x:v>
      </x:c>
      <x:c r="G341" s="85" t="str"/>
      <x:c r="H341" s="84" t="n">
        <x:f>Lot_paie!AQ12</x:f>
        <x:v>0</x:v>
      </x:c>
    </x:row>
    <x:row r="342">
      <x:c r="A342" s="25" t="str">
        <x:v>204</x:v>
      </x:c>
      <x:c r="B342" s="25" t="str">
        <x:v>Indemnité Transport N. Imposable</x:v>
      </x:c>
      <x:c r="C342" s="25" t="str">
        <x:v>30</x:v>
      </x:c>
      <x:c r="D342" s="64" t="n">
        <x:f>Lot_paie!Y12</x:f>
        <x:v>0</x:v>
      </x:c>
      <x:c r="E342" s="64" t="str"/>
      <x:c r="F342" s="64" t="n">
        <x:f>Lot_paie!Y12</x:f>
        <x:v>0</x:v>
      </x:c>
      <x:c r="G342" s="66" t="str"/>
      <x:c r="H342" s="64" t="str"/>
    </x:row>
    <x:row r="343">
      <x:c r="A343" s="25" t="str"/>
      <x:c r="B343" s="25" t="str">
        <x:v>Total gains non imposables</x:v>
      </x:c>
      <x:c r="C343" s="25" t="str"/>
      <x:c r="D343" s="64" t="str"/>
      <x:c r="E343" s="64" t="str"/>
      <x:c r="F343" s="64" t="n">
        <x:f>Lot_paie!AR12</x:f>
        <x:v>0</x:v>
      </x:c>
      <x:c r="G343" s="66" t="str"/>
      <x:c r="H343" s="64" t="str"/>
    </x:row>
    <x:row r="344">
      <x:c r="A344" s="25" t="str"/>
      <x:c r="B344" s="110" t="str">
        <x:v>NET À PAYER</x:v>
      </x:c>
      <x:c r="C344" s="110" t="str"/>
      <x:c r="D344" s="111" t="str"/>
      <x:c r="E344" s="111" t="str"/>
      <x:c r="F344" s="111" t="str"/>
      <x:c r="G344" s="112" t="str"/>
      <x:c r="H344" s="111" t="n">
        <x:f>Lot_paie!AT12</x:f>
        <x:v>0</x:v>
      </x:c>
    </x:row>
    <x:row r="345">
      <x:c r="A345" s="25"/>
      <x:c r="B345" s="25"/>
      <x:c r="C345" s="25"/>
      <x:c r="D345" s="25"/>
      <x:c r="E345" s="25"/>
      <x:c r="F345" s="25"/>
      <x:c r="G345" s="25"/>
      <x:c r="H345" s="25"/>
    </x:row>
    <x:row r="346">
      <x:c r="A346" s="25"/>
      <x:c r="B346" s="25"/>
      <x:c r="C346" s="25"/>
      <x:c r="D346" s="25"/>
      <x:c r="E346" s="25"/>
      <x:c r="F346" s="25"/>
      <x:c r="G346" s="25"/>
      <x:c r="H346" s="25"/>
    </x:row>
    <x:row r="347">
      <x:c r="A347" s="25"/>
      <x:c r="B347" s="25"/>
      <x:c r="C347" s="25"/>
      <x:c r="D347" s="25"/>
      <x:c r="E347" s="25"/>
      <x:c r="F347" s="25"/>
      <x:c r="G347" s="25"/>
      <x:c r="H347" s="25"/>
    </x:row>
    <x:row r="348">
      <x:c r="A348" s="25"/>
      <x:c r="B348" s="25"/>
      <x:c r="C348" s="25"/>
      <x:c r="D348" s="25"/>
      <x:c r="E348" s="25"/>
      <x:c r="F348" s="25"/>
      <x:c r="G348" s="25"/>
      <x:c r="H348" s="25"/>
    </x:row>
    <x:row r="349">
      <x:c r="A349" s="25"/>
      <x:c r="B349" s="25"/>
      <x:c r="C349" s="25"/>
      <x:c r="D349" s="25"/>
      <x:c r="E349" s="25"/>
      <x:c r="F349" s="25"/>
      <x:c r="G349" s="25"/>
      <x:c r="H349" s="25"/>
    </x:row>
    <x:row r="350">
      <x:c r="A350" s="25"/>
      <x:c r="B350" s="25"/>
      <x:c r="C350" s="25"/>
      <x:c r="D350" s="25"/>
      <x:c r="E350" s="25"/>
      <x:c r="F350" s="25"/>
      <x:c r="G350" s="25"/>
      <x:c r="H350" s="25"/>
    </x:row>
    <x:row r="351">
      <x:c r="A351" s="25"/>
      <x:c r="B351" s="25"/>
      <x:c r="C351" s="25"/>
      <x:c r="D351" s="25"/>
      <x:c r="E351" s="25"/>
      <x:c r="F351" s="25"/>
      <x:c r="G351" s="25"/>
      <x:c r="H351" s="25"/>
    </x:row>
    <x:row r="353">
      <x:c r="A353" s="108" t="str">
        <x:v>BULLETIN DE PAIE – AAEA / AfWASA</x:v>
      </x:c>
      <x:c r="B353" s="108"/>
      <x:c r="C353" s="108"/>
      <x:c r="D353" s="108"/>
      <x:c r="E353" s="108"/>
      <x:c r="F353" s="108"/>
      <x:c r="G353" s="108"/>
      <x:c r="H353" s="108"/>
    </x:row>
    <x:row r="354">
      <x:c r="A354" s="25" t="str">
        <x:v>Matricule</x:v>
      </x:c>
      <x:c r="B354" s="25" t="str">
        <x:f>Lot_paie!A13</x:f>
        <x:v>0033M</x:v>
      </x:c>
      <x:c r="C354" s="25" t="str">
        <x:v>Période</x:v>
      </x:c>
      <x:c r="D354" s="25" t="str">
        <x:f>Parametres_Paie!$B$26</x:f>
        <x:v>Janvier 2025</x:v>
      </x:c>
      <x:c r="E354" s="25" t="str">
        <x:v>Paiement</x:v>
      </x:c>
      <x:c r="F354" s="25" t="n">
        <x:f>Parametres_Paie!$B$25</x:f>
        <x:v>45688</x:v>
      </x:c>
      <x:c r="G354" s="25" t="str"/>
      <x:c r="H354" s="25" t="str"/>
    </x:row>
    <x:row r="355">
      <x:c r="A355" s="25" t="str">
        <x:v>Nom et prénom</x:v>
      </x:c>
      <x:c r="B355" s="25" t="str">
        <x:f>Lot_paie!B13&amp;" "&amp;Lot_paie!C13</x:f>
        <x:v>DJAGOUN Kolawolé Akindé Gilles</x:v>
      </x:c>
      <x:c r="C355" s="25" t="str">
        <x:v>Poste</x:v>
      </x:c>
      <x:c r="D355" s="25" t="str">
        <x:f>Lot_paie!F13</x:f>
        <x:v>Coordonnateur Senior Programme Eau en Charge d'Africap</x:v>
      </x:c>
      <x:c r="E355" s="25" t="str">
        <x:v>CNPS</x:v>
      </x:c>
      <x:c r="F355" s="25" t="n">
        <x:f>Lot_paie!J13</x:f>
        <x:v>181051882852</x:v>
      </x:c>
      <x:c r="G355" s="25" t="str"/>
      <x:c r="H355" s="25" t="str"/>
    </x:row>
    <x:row r="356">
      <x:c r="A356" s="25" t="str">
        <x:v>Direction</x:v>
      </x:c>
      <x:c r="B356" s="25" t="str">
        <x:f>Lot_paie!D13</x:f>
        <x:v>Direction des Services aux Membres et des Programmes</x:v>
      </x:c>
      <x:c r="C356" s="25" t="str">
        <x:v>Date entrée</x:v>
      </x:c>
      <x:c r="D356" s="25" t="n">
        <x:f>Lot_paie!I13</x:f>
        <x:v>46082</x:v>
      </x:c>
      <x:c r="E356" s="25" t="str">
        <x:v>Ancienneté</x:v>
      </x:c>
      <x:c r="F356" s="25" t="str">
        <x:f>Lot_paie!V13</x:f>
        <x:v>-2 ans (calcul période)</x:v>
      </x:c>
      <x:c r="G356" s="25" t="str"/>
      <x:c r="H356" s="25" t="str"/>
    </x:row>
    <x:row r="357">
      <x:c r="A357" s="25"/>
      <x:c r="B357" s="25"/>
      <x:c r="C357" s="25"/>
      <x:c r="D357" s="25"/>
      <x:c r="E357" s="25"/>
      <x:c r="F357" s="25"/>
      <x:c r="G357" s="25"/>
      <x:c r="H357" s="25"/>
    </x:row>
    <x:row r="358">
      <x:c r="A358" s="14" t="str">
        <x:v>N°</x:v>
      </x:c>
      <x:c r="B358" s="14" t="str">
        <x:v>Désignation</x:v>
      </x:c>
      <x:c r="C358" s="14" t="str">
        <x:v>Nombre</x:v>
      </x:c>
      <x:c r="D358" s="14" t="str">
        <x:v>Base</x:v>
      </x:c>
      <x:c r="E358" s="14" t="str">
        <x:v>Taux Sal.</x:v>
      </x:c>
      <x:c r="F358" s="14" t="str">
        <x:v>Ret. Sal.</x:v>
      </x:c>
      <x:c r="G358" s="14" t="str">
        <x:v>Taux Pat.</x:v>
      </x:c>
      <x:c r="H358" s="14" t="str">
        <x:v>Ret. Pat.</x:v>
      </x:c>
    </x:row>
    <x:row r="359">
      <x:c r="A359" s="25" t="str">
        <x:v>100</x:v>
      </x:c>
      <x:c r="B359" s="25" t="str">
        <x:v>Salaire de base</x:v>
      </x:c>
      <x:c r="C359" s="25" t="str">
        <x:v>30</x:v>
      </x:c>
      <x:c r="D359" s="64" t="n">
        <x:f>Lot_paie!K13</x:f>
        <x:v>0</x:v>
      </x:c>
      <x:c r="E359" s="64" t="str"/>
      <x:c r="F359" s="64" t="str"/>
      <x:c r="G359" s="64" t="str"/>
      <x:c r="H359" s="64" t="str"/>
    </x:row>
    <x:row r="360">
      <x:c r="A360" s="25" t="str">
        <x:v>110</x:v>
      </x:c>
      <x:c r="B360" s="25" t="str">
        <x:v>Sursalaire</x:v>
      </x:c>
      <x:c r="C360" s="25" t="str">
        <x:v>30</x:v>
      </x:c>
      <x:c r="D360" s="64" t="n">
        <x:f>Lot_paie!L13</x:f>
        <x:v>0</x:v>
      </x:c>
      <x:c r="E360" s="64" t="str"/>
      <x:c r="F360" s="64" t="str"/>
      <x:c r="G360" s="64" t="str"/>
      <x:c r="H360" s="64" t="str"/>
    </x:row>
    <x:row r="361">
      <x:c r="A361" s="25" t="str">
        <x:v>120</x:v>
      </x:c>
      <x:c r="B361" s="25" t="str">
        <x:v>Prime ancienneté</x:v>
      </x:c>
      <x:c r="C361" s="25" t="n">
        <x:f>Lot_paie!U13</x:f>
        <x:v>-2</x:v>
      </x:c>
      <x:c r="D361" s="64" t="n">
        <x:f>Lot_paie!X13</x:f>
        <x:v>0</x:v>
      </x:c>
      <x:c r="E361" s="64" t="str"/>
      <x:c r="F361" s="64" t="str"/>
      <x:c r="G361" s="64" t="str"/>
      <x:c r="H361" s="64" t="str"/>
    </x:row>
    <x:row r="362">
      <x:c r="A362" s="25" t="str"/>
      <x:c r="B362" s="24" t="str">
        <x:v>Total brut imposable</x:v>
      </x:c>
      <x:c r="C362" s="24" t="str"/>
      <x:c r="D362" s="76" t="str"/>
      <x:c r="E362" s="76" t="str"/>
      <x:c r="F362" s="76" t="n">
        <x:f>Lot_paie!AA13</x:f>
        <x:v>0</x:v>
      </x:c>
      <x:c r="G362" s="76" t="str"/>
      <x:c r="H362" s="76" t="str"/>
    </x:row>
    <x:row r="363">
      <x:c r="A363" s="25" t="str">
        <x:v>810</x:v>
      </x:c>
      <x:c r="B363" s="25" t="str">
        <x:v>C.N.P.S.</x:v>
      </x:c>
      <x:c r="C363" s="25" t="str"/>
      <x:c r="D363" s="64" t="n">
        <x:f>Lot_paie!AB13</x:f>
        <x:v>0</x:v>
      </x:c>
      <x:c r="E363" s="66" t="n">
        <x:f>Parametres_Paie!$B$4</x:f>
        <x:v>0.063</x:v>
      </x:c>
      <x:c r="F363" s="64" t="n">
        <x:f>Lot_paie!AC13</x:f>
        <x:v>0</x:v>
      </x:c>
      <x:c r="G363" s="66" t="n">
        <x:f>Parametres_Paie!$B$5</x:f>
        <x:v>0.077</x:v>
      </x:c>
      <x:c r="H363" s="64" t="n">
        <x:f>Lot_paie!AH13</x:f>
        <x:v>0</x:v>
      </x:c>
    </x:row>
    <x:row r="364">
      <x:c r="A364" s="25" t="str">
        <x:v>815</x:v>
      </x:c>
      <x:c r="B364" s="25" t="str">
        <x:v>Retenue CMU employé</x:v>
      </x:c>
      <x:c r="C364" s="25" t="str"/>
      <x:c r="D364" s="64" t="n">
        <x:f>Lot_paie!AD13</x:f>
        <x:v>0</x:v>
      </x:c>
      <x:c r="E364" s="64" t="str"/>
      <x:c r="F364" s="64" t="n">
        <x:f>Lot_paie!AD13</x:f>
        <x:v>0</x:v>
      </x:c>
      <x:c r="G364" s="66" t="str"/>
      <x:c r="H364" s="64" t="n">
        <x:f>Lot_paie!AL13</x:f>
        <x:v>0</x:v>
      </x:c>
    </x:row>
    <x:row r="365">
      <x:c r="A365" s="25" t="str">
        <x:v>860</x:v>
      </x:c>
      <x:c r="B365" s="25" t="str">
        <x:v>I.T.S</x:v>
      </x:c>
      <x:c r="C365" s="25" t="str"/>
      <x:c r="D365" s="64" t="n">
        <x:f>Lot_paie!AA13</x:f>
        <x:v>0</x:v>
      </x:c>
      <x:c r="E365" s="64" t="str"/>
      <x:c r="F365" s="64" t="n">
        <x:f>Lot_paie!AF13</x:f>
        <x:v>0</x:v>
      </x:c>
      <x:c r="G365" s="66" t="str"/>
      <x:c r="H365" s="64" t="str"/>
    </x:row>
    <x:row r="366">
      <x:c r="A366" s="25" t="str">
        <x:v>912</x:v>
      </x:c>
      <x:c r="B366" s="25" t="str">
        <x:v>Prestation Familiale</x:v>
      </x:c>
      <x:c r="C366" s="25" t="str"/>
      <x:c r="D366" s="64" t="n">
        <x:f>Parametres_Paie!$B$7</x:f>
        <x:v>75000</x:v>
      </x:c>
      <x:c r="E366" s="64" t="str"/>
      <x:c r="F366" s="64" t="str"/>
      <x:c r="G366" s="66" t="n">
        <x:f>Parametres_Paie!$B$8</x:f>
        <x:v>0.05</x:v>
      </x:c>
      <x:c r="H366" s="64" t="n">
        <x:f>Lot_paie!AI13</x:f>
        <x:v>0</x:v>
      </x:c>
    </x:row>
    <x:row r="367">
      <x:c r="A367" s="25" t="str">
        <x:v>913</x:v>
      </x:c>
      <x:c r="B367" s="25" t="str">
        <x:v>Accident de Travail</x:v>
      </x:c>
      <x:c r="C367" s="25" t="str"/>
      <x:c r="D367" s="64" t="n">
        <x:f>Parametres_Paie!$B$7</x:f>
        <x:v>75000</x:v>
      </x:c>
      <x:c r="E367" s="64" t="str"/>
      <x:c r="F367" s="64" t="str"/>
      <x:c r="G367" s="66" t="n">
        <x:f>Lot_paie!T13</x:f>
        <x:v>0.02</x:v>
      </x:c>
      <x:c r="H367" s="64" t="n">
        <x:f>Lot_paie!AJ13</x:f>
        <x:v>0</x:v>
      </x:c>
    </x:row>
    <x:row r="368">
      <x:c r="A368" s="25" t="str">
        <x:v>914</x:v>
      </x:c>
      <x:c r="B368" s="25" t="str">
        <x:v>Assurance Maternité</x:v>
      </x:c>
      <x:c r="C368" s="25" t="str"/>
      <x:c r="D368" s="64" t="n">
        <x:f>Parametres_Paie!$B$7</x:f>
        <x:v>75000</x:v>
      </x:c>
      <x:c r="E368" s="64" t="str"/>
      <x:c r="F368" s="64" t="str"/>
      <x:c r="G368" s="66" t="n">
        <x:f>Parametres_Paie!$B$9</x:f>
        <x:v>0.0075</x:v>
      </x:c>
      <x:c r="H368" s="64" t="n">
        <x:f>Lot_paie!AK13</x:f>
        <x:v>0</x:v>
      </x:c>
    </x:row>
    <x:row r="369">
      <x:c r="A369" s="25" t="str">
        <x:v>924</x:v>
      </x:c>
      <x:c r="B369" s="25" t="str">
        <x:v>I.S. Employeur Local</x:v>
      </x:c>
      <x:c r="C369" s="25" t="str"/>
      <x:c r="D369" s="64" t="n">
        <x:f>Lot_paie!AA13</x:f>
        <x:v>0</x:v>
      </x:c>
      <x:c r="E369" s="64" t="str"/>
      <x:c r="F369" s="64" t="str"/>
      <x:c r="G369" s="66" t="n">
        <x:f>Parametres_Paie!$B$15</x:f>
        <x:v>0.012</x:v>
      </x:c>
      <x:c r="H369" s="64" t="n">
        <x:f>Lot_paie!AM13</x:f>
        <x:v>0</x:v>
      </x:c>
    </x:row>
    <x:row r="370">
      <x:c r="A370" s="25" t="str">
        <x:v>930</x:v>
      </x:c>
      <x:c r="B370" s="25" t="str">
        <x:v>Taxe d’Apprentissage</x:v>
      </x:c>
      <x:c r="C370" s="25" t="str"/>
      <x:c r="D370" s="64" t="n">
        <x:f>Lot_paie!AA13</x:f>
        <x:v>0</x:v>
      </x:c>
      <x:c r="E370" s="64" t="str"/>
      <x:c r="F370" s="64" t="str"/>
      <x:c r="G370" s="66" t="n">
        <x:f>Parametres_Paie!$B$16</x:f>
        <x:v>0.004</x:v>
      </x:c>
      <x:c r="H370" s="64" t="n">
        <x:f>Lot_paie!AN13</x:f>
        <x:v>0</x:v>
      </x:c>
    </x:row>
    <x:row r="371">
      <x:c r="A371" s="25" t="str">
        <x:v>931</x:v>
      </x:c>
      <x:c r="B371" s="25" t="str">
        <x:v>Taxe Formation Professionnelle Continue</x:v>
      </x:c>
      <x:c r="C371" s="25" t="str"/>
      <x:c r="D371" s="64" t="n">
        <x:f>Lot_paie!AA13</x:f>
        <x:v>0</x:v>
      </x:c>
      <x:c r="E371" s="64" t="str"/>
      <x:c r="F371" s="64" t="str"/>
      <x:c r="G371" s="66" t="n">
        <x:f>Parametres_Paie!$B$17</x:f>
        <x:v>0.006</x:v>
      </x:c>
      <x:c r="H371" s="64" t="n">
        <x:f>Lot_paie!AO13</x:f>
        <x:v>0</x:v>
      </x:c>
    </x:row>
    <x:row r="372">
      <x:c r="A372" s="25" t="str">
        <x:v>932</x:v>
      </x:c>
      <x:c r="B372" s="25" t="str">
        <x:v>Taxe FPC Fin d’année</x:v>
      </x:c>
      <x:c r="C372" s="25" t="str"/>
      <x:c r="D372" s="64" t="n">
        <x:f>Lot_paie!AA13</x:f>
        <x:v>0</x:v>
      </x:c>
      <x:c r="E372" s="64" t="str"/>
      <x:c r="F372" s="64" t="str"/>
      <x:c r="G372" s="66" t="n">
        <x:f>Parametres_Paie!$B$18</x:f>
        <x:v>0.006</x:v>
      </x:c>
      <x:c r="H372" s="64" t="n">
        <x:f>Lot_paie!AP13</x:f>
        <x:v>0</x:v>
      </x:c>
    </x:row>
    <x:row r="373">
      <x:c r="A373" s="25" t="str"/>
      <x:c r="B373" s="83" t="str">
        <x:v>Total retenues fiscales et sociales</x:v>
      </x:c>
      <x:c r="C373" s="83" t="str"/>
      <x:c r="D373" s="84" t="str"/>
      <x:c r="E373" s="84" t="str"/>
      <x:c r="F373" s="84" t="n">
        <x:f>Lot_paie!AG13</x:f>
        <x:v>0</x:v>
      </x:c>
      <x:c r="G373" s="85" t="str"/>
      <x:c r="H373" s="84" t="n">
        <x:f>Lot_paie!AQ13</x:f>
        <x:v>0</x:v>
      </x:c>
    </x:row>
    <x:row r="374">
      <x:c r="A374" s="25" t="str">
        <x:v>204</x:v>
      </x:c>
      <x:c r="B374" s="25" t="str">
        <x:v>Indemnité Transport N. Imposable</x:v>
      </x:c>
      <x:c r="C374" s="25" t="str">
        <x:v>30</x:v>
      </x:c>
      <x:c r="D374" s="64" t="n">
        <x:f>Lot_paie!Y13</x:f>
        <x:v>0</x:v>
      </x:c>
      <x:c r="E374" s="64" t="str"/>
      <x:c r="F374" s="64" t="n">
        <x:f>Lot_paie!Y13</x:f>
        <x:v>0</x:v>
      </x:c>
      <x:c r="G374" s="66" t="str"/>
      <x:c r="H374" s="64" t="str"/>
    </x:row>
    <x:row r="375">
      <x:c r="A375" s="25" t="str"/>
      <x:c r="B375" s="25" t="str">
        <x:v>Total gains non imposables</x:v>
      </x:c>
      <x:c r="C375" s="25" t="str"/>
      <x:c r="D375" s="64" t="str"/>
      <x:c r="E375" s="64" t="str"/>
      <x:c r="F375" s="64" t="n">
        <x:f>Lot_paie!AR13</x:f>
        <x:v>0</x:v>
      </x:c>
      <x:c r="G375" s="66" t="str"/>
      <x:c r="H375" s="64" t="str"/>
    </x:row>
    <x:row r="376">
      <x:c r="A376" s="25" t="str"/>
      <x:c r="B376" s="110" t="str">
        <x:v>NET À PAYER</x:v>
      </x:c>
      <x:c r="C376" s="110" t="str"/>
      <x:c r="D376" s="111" t="str"/>
      <x:c r="E376" s="111" t="str"/>
      <x:c r="F376" s="111" t="str"/>
      <x:c r="G376" s="112" t="str"/>
      <x:c r="H376" s="111" t="n">
        <x:f>Lot_paie!AT13</x:f>
        <x:v>0</x:v>
      </x:c>
    </x:row>
    <x:row r="377">
      <x:c r="A377" s="25"/>
      <x:c r="B377" s="25"/>
      <x:c r="C377" s="25"/>
      <x:c r="D377" s="25"/>
      <x:c r="E377" s="25"/>
      <x:c r="F377" s="25"/>
      <x:c r="G377" s="25"/>
      <x:c r="H377" s="25"/>
    </x:row>
    <x:row r="378">
      <x:c r="A378" s="25"/>
      <x:c r="B378" s="25"/>
      <x:c r="C378" s="25"/>
      <x:c r="D378" s="25"/>
      <x:c r="E378" s="25"/>
      <x:c r="F378" s="25"/>
      <x:c r="G378" s="25"/>
      <x:c r="H378" s="25"/>
    </x:row>
    <x:row r="379">
      <x:c r="A379" s="25"/>
      <x:c r="B379" s="25"/>
      <x:c r="C379" s="25"/>
      <x:c r="D379" s="25"/>
      <x:c r="E379" s="25"/>
      <x:c r="F379" s="25"/>
      <x:c r="G379" s="25"/>
      <x:c r="H379" s="25"/>
    </x:row>
    <x:row r="380">
      <x:c r="A380" s="25"/>
      <x:c r="B380" s="25"/>
      <x:c r="C380" s="25"/>
      <x:c r="D380" s="25"/>
      <x:c r="E380" s="25"/>
      <x:c r="F380" s="25"/>
      <x:c r="G380" s="25"/>
      <x:c r="H380" s="25"/>
    </x:row>
    <x:row r="381">
      <x:c r="A381" s="25"/>
      <x:c r="B381" s="25"/>
      <x:c r="C381" s="25"/>
      <x:c r="D381" s="25"/>
      <x:c r="E381" s="25"/>
      <x:c r="F381" s="25"/>
      <x:c r="G381" s="25"/>
      <x:c r="H381" s="25"/>
    </x:row>
    <x:row r="382">
      <x:c r="A382" s="25"/>
      <x:c r="B382" s="25"/>
      <x:c r="C382" s="25"/>
      <x:c r="D382" s="25"/>
      <x:c r="E382" s="25"/>
      <x:c r="F382" s="25"/>
      <x:c r="G382" s="25"/>
      <x:c r="H382" s="25"/>
    </x:row>
    <x:row r="383">
      <x:c r="A383" s="25"/>
      <x:c r="B383" s="25"/>
      <x:c r="C383" s="25"/>
      <x:c r="D383" s="25"/>
      <x:c r="E383" s="25"/>
      <x:c r="F383" s="25"/>
      <x:c r="G383" s="25"/>
      <x:c r="H383" s="25"/>
    </x:row>
    <x:row r="385">
      <x:c r="A385" s="108" t="str">
        <x:v>BULLETIN DE PAIE – AAEA / AfWASA</x:v>
      </x:c>
      <x:c r="B385" s="108"/>
      <x:c r="C385" s="108"/>
      <x:c r="D385" s="108"/>
      <x:c r="E385" s="108"/>
      <x:c r="F385" s="108"/>
      <x:c r="G385" s="108"/>
      <x:c r="H385" s="108"/>
    </x:row>
    <x:row r="386">
      <x:c r="A386" s="25" t="str">
        <x:v>Matricule</x:v>
      </x:c>
      <x:c r="B386" s="25" t="str">
        <x:f>Lot_paie!A14</x:f>
        <x:v>0038M</x:v>
      </x:c>
      <x:c r="C386" s="25" t="str">
        <x:v>Période</x:v>
      </x:c>
      <x:c r="D386" s="25" t="str">
        <x:f>Parametres_Paie!$B$26</x:f>
        <x:v>Janvier 2025</x:v>
      </x:c>
      <x:c r="E386" s="25" t="str">
        <x:v>Paiement</x:v>
      </x:c>
      <x:c r="F386" s="25" t="n">
        <x:f>Parametres_Paie!$B$25</x:f>
        <x:v>45688</x:v>
      </x:c>
      <x:c r="G386" s="25" t="str"/>
      <x:c r="H386" s="25" t="str"/>
    </x:row>
    <x:row r="387">
      <x:c r="A387" s="25" t="str">
        <x:v>Nom et prénom</x:v>
      </x:c>
      <x:c r="B387" s="25" t="str">
        <x:f>Lot_paie!B14&amp;" "&amp;Lot_paie!C14</x:f>
        <x:v>GNANKPA Kouassi Olivier Marius</x:v>
      </x:c>
      <x:c r="C387" s="25" t="str">
        <x:v>Poste</x:v>
      </x:c>
      <x:c r="D387" s="25" t="str">
        <x:f>Lot_paie!F14</x:f>
        <x:v>Directeur Administratif &amp; Financier</x:v>
      </x:c>
      <x:c r="E387" s="25" t="str">
        <x:v>CNPS</x:v>
      </x:c>
      <x:c r="F387" s="25" t="n">
        <x:f>Lot_paie!J14</x:f>
        <x:v>181010623871</x:v>
      </x:c>
      <x:c r="G387" s="25" t="str"/>
      <x:c r="H387" s="25" t="str"/>
    </x:row>
    <x:row r="388">
      <x:c r="A388" s="25" t="str">
        <x:v>Direction</x:v>
      </x:c>
      <x:c r="B388" s="25" t="str">
        <x:f>Lot_paie!D14</x:f>
        <x:v>Direction Administrative et Financière</x:v>
      </x:c>
      <x:c r="C388" s="25" t="str">
        <x:v>Date entrée</x:v>
      </x:c>
      <x:c r="D388" s="25" t="n">
        <x:f>Lot_paie!I14</x:f>
        <x:v>42430</x:v>
      </x:c>
      <x:c r="E388" s="25" t="str">
        <x:v>Ancienneté</x:v>
      </x:c>
      <x:c r="F388" s="25" t="str">
        <x:f>Lot_paie!V14</x:f>
        <x:v>8 ans (calcul période)</x:v>
      </x:c>
      <x:c r="G388" s="25" t="str"/>
      <x:c r="H388" s="25" t="str"/>
    </x:row>
    <x:row r="389">
      <x:c r="A389" s="25"/>
      <x:c r="B389" s="25"/>
      <x:c r="C389" s="25"/>
      <x:c r="D389" s="25"/>
      <x:c r="E389" s="25"/>
      <x:c r="F389" s="25"/>
      <x:c r="G389" s="25"/>
      <x:c r="H389" s="25"/>
    </x:row>
    <x:row r="390">
      <x:c r="A390" s="14" t="str">
        <x:v>N°</x:v>
      </x:c>
      <x:c r="B390" s="14" t="str">
        <x:v>Désignation</x:v>
      </x:c>
      <x:c r="C390" s="14" t="str">
        <x:v>Nombre</x:v>
      </x:c>
      <x:c r="D390" s="14" t="str">
        <x:v>Base</x:v>
      </x:c>
      <x:c r="E390" s="14" t="str">
        <x:v>Taux Sal.</x:v>
      </x:c>
      <x:c r="F390" s="14" t="str">
        <x:v>Ret. Sal.</x:v>
      </x:c>
      <x:c r="G390" s="14" t="str">
        <x:v>Taux Pat.</x:v>
      </x:c>
      <x:c r="H390" s="14" t="str">
        <x:v>Ret. Pat.</x:v>
      </x:c>
    </x:row>
    <x:row r="391">
      <x:c r="A391" s="25" t="str">
        <x:v>100</x:v>
      </x:c>
      <x:c r="B391" s="25" t="str">
        <x:v>Salaire de base</x:v>
      </x:c>
      <x:c r="C391" s="25" t="str">
        <x:v>30</x:v>
      </x:c>
      <x:c r="D391" s="64" t="n">
        <x:f>Lot_paie!K14</x:f>
        <x:v>0</x:v>
      </x:c>
      <x:c r="E391" s="64" t="str"/>
      <x:c r="F391" s="64" t="str"/>
      <x:c r="G391" s="64" t="str"/>
      <x:c r="H391" s="64" t="str"/>
    </x:row>
    <x:row r="392">
      <x:c r="A392" s="25" t="str">
        <x:v>110</x:v>
      </x:c>
      <x:c r="B392" s="25" t="str">
        <x:v>Sursalaire</x:v>
      </x:c>
      <x:c r="C392" s="25" t="str">
        <x:v>30</x:v>
      </x:c>
      <x:c r="D392" s="64" t="n">
        <x:f>Lot_paie!L14</x:f>
        <x:v>0</x:v>
      </x:c>
      <x:c r="E392" s="64" t="str"/>
      <x:c r="F392" s="64" t="str"/>
      <x:c r="G392" s="64" t="str"/>
      <x:c r="H392" s="64" t="str"/>
    </x:row>
    <x:row r="393">
      <x:c r="A393" s="25" t="str">
        <x:v>120</x:v>
      </x:c>
      <x:c r="B393" s="25" t="str">
        <x:v>Prime ancienneté</x:v>
      </x:c>
      <x:c r="C393" s="25" t="n">
        <x:f>Lot_paie!U14</x:f>
        <x:v>8</x:v>
      </x:c>
      <x:c r="D393" s="64" t="n">
        <x:f>Lot_paie!X14</x:f>
        <x:v>0</x:v>
      </x:c>
      <x:c r="E393" s="64" t="str"/>
      <x:c r="F393" s="64" t="str"/>
      <x:c r="G393" s="64" t="str"/>
      <x:c r="H393" s="64" t="str"/>
    </x:row>
    <x:row r="394">
      <x:c r="A394" s="25" t="str"/>
      <x:c r="B394" s="24" t="str">
        <x:v>Total brut imposable</x:v>
      </x:c>
      <x:c r="C394" s="24" t="str"/>
      <x:c r="D394" s="76" t="str"/>
      <x:c r="E394" s="76" t="str"/>
      <x:c r="F394" s="76" t="n">
        <x:f>Lot_paie!AA14</x:f>
        <x:v>0</x:v>
      </x:c>
      <x:c r="G394" s="76" t="str"/>
      <x:c r="H394" s="76" t="str"/>
    </x:row>
    <x:row r="395">
      <x:c r="A395" s="25" t="str">
        <x:v>810</x:v>
      </x:c>
      <x:c r="B395" s="25" t="str">
        <x:v>C.N.P.S.</x:v>
      </x:c>
      <x:c r="C395" s="25" t="str"/>
      <x:c r="D395" s="64" t="n">
        <x:f>Lot_paie!AB14</x:f>
        <x:v>0</x:v>
      </x:c>
      <x:c r="E395" s="66" t="n">
        <x:f>Parametres_Paie!$B$4</x:f>
        <x:v>0.063</x:v>
      </x:c>
      <x:c r="F395" s="64" t="n">
        <x:f>Lot_paie!AC14</x:f>
        <x:v>0</x:v>
      </x:c>
      <x:c r="G395" s="66" t="n">
        <x:f>Parametres_Paie!$B$5</x:f>
        <x:v>0.077</x:v>
      </x:c>
      <x:c r="H395" s="64" t="n">
        <x:f>Lot_paie!AH14</x:f>
        <x:v>0</x:v>
      </x:c>
    </x:row>
    <x:row r="396">
      <x:c r="A396" s="25" t="str">
        <x:v>815</x:v>
      </x:c>
      <x:c r="B396" s="25" t="str">
        <x:v>Retenue CMU employé</x:v>
      </x:c>
      <x:c r="C396" s="25" t="str"/>
      <x:c r="D396" s="64" t="n">
        <x:f>Lot_paie!AD14</x:f>
        <x:v>0</x:v>
      </x:c>
      <x:c r="E396" s="64" t="str"/>
      <x:c r="F396" s="64" t="n">
        <x:f>Lot_paie!AD14</x:f>
        <x:v>0</x:v>
      </x:c>
      <x:c r="G396" s="66" t="str"/>
      <x:c r="H396" s="64" t="n">
        <x:f>Lot_paie!AL14</x:f>
        <x:v>0</x:v>
      </x:c>
    </x:row>
    <x:row r="397">
      <x:c r="A397" s="25" t="str">
        <x:v>860</x:v>
      </x:c>
      <x:c r="B397" s="25" t="str">
        <x:v>I.T.S</x:v>
      </x:c>
      <x:c r="C397" s="25" t="str"/>
      <x:c r="D397" s="64" t="n">
        <x:f>Lot_paie!AA14</x:f>
        <x:v>0</x:v>
      </x:c>
      <x:c r="E397" s="64" t="str"/>
      <x:c r="F397" s="64" t="n">
        <x:f>Lot_paie!AF14</x:f>
        <x:v>0</x:v>
      </x:c>
      <x:c r="G397" s="66" t="str"/>
      <x:c r="H397" s="64" t="str"/>
    </x:row>
    <x:row r="398">
      <x:c r="A398" s="25" t="str">
        <x:v>912</x:v>
      </x:c>
      <x:c r="B398" s="25" t="str">
        <x:v>Prestation Familiale</x:v>
      </x:c>
      <x:c r="C398" s="25" t="str"/>
      <x:c r="D398" s="64" t="n">
        <x:f>Parametres_Paie!$B$7</x:f>
        <x:v>75000</x:v>
      </x:c>
      <x:c r="E398" s="64" t="str"/>
      <x:c r="F398" s="64" t="str"/>
      <x:c r="G398" s="66" t="n">
        <x:f>Parametres_Paie!$B$8</x:f>
        <x:v>0.05</x:v>
      </x:c>
      <x:c r="H398" s="64" t="n">
        <x:f>Lot_paie!AI14</x:f>
        <x:v>0</x:v>
      </x:c>
    </x:row>
    <x:row r="399">
      <x:c r="A399" s="25" t="str">
        <x:v>913</x:v>
      </x:c>
      <x:c r="B399" s="25" t="str">
        <x:v>Accident de Travail</x:v>
      </x:c>
      <x:c r="C399" s="25" t="str"/>
      <x:c r="D399" s="64" t="n">
        <x:f>Parametres_Paie!$B$7</x:f>
        <x:v>75000</x:v>
      </x:c>
      <x:c r="E399" s="64" t="str"/>
      <x:c r="F399" s="64" t="str"/>
      <x:c r="G399" s="66" t="n">
        <x:f>Lot_paie!T14</x:f>
        <x:v>0.02</x:v>
      </x:c>
      <x:c r="H399" s="64" t="n">
        <x:f>Lot_paie!AJ14</x:f>
        <x:v>0</x:v>
      </x:c>
    </x:row>
    <x:row r="400">
      <x:c r="A400" s="25" t="str">
        <x:v>914</x:v>
      </x:c>
      <x:c r="B400" s="25" t="str">
        <x:v>Assurance Maternité</x:v>
      </x:c>
      <x:c r="C400" s="25" t="str"/>
      <x:c r="D400" s="64" t="n">
        <x:f>Parametres_Paie!$B$7</x:f>
        <x:v>75000</x:v>
      </x:c>
      <x:c r="E400" s="64" t="str"/>
      <x:c r="F400" s="64" t="str"/>
      <x:c r="G400" s="66" t="n">
        <x:f>Parametres_Paie!$B$9</x:f>
        <x:v>0.0075</x:v>
      </x:c>
      <x:c r="H400" s="64" t="n">
        <x:f>Lot_paie!AK14</x:f>
        <x:v>0</x:v>
      </x:c>
    </x:row>
    <x:row r="401">
      <x:c r="A401" s="25" t="str">
        <x:v>924</x:v>
      </x:c>
      <x:c r="B401" s="25" t="str">
        <x:v>I.S. Employeur Local</x:v>
      </x:c>
      <x:c r="C401" s="25" t="str"/>
      <x:c r="D401" s="64" t="n">
        <x:f>Lot_paie!AA14</x:f>
        <x:v>0</x:v>
      </x:c>
      <x:c r="E401" s="64" t="str"/>
      <x:c r="F401" s="64" t="str"/>
      <x:c r="G401" s="66" t="n">
        <x:f>Parametres_Paie!$B$15</x:f>
        <x:v>0.012</x:v>
      </x:c>
      <x:c r="H401" s="64" t="n">
        <x:f>Lot_paie!AM14</x:f>
        <x:v>0</x:v>
      </x:c>
    </x:row>
    <x:row r="402">
      <x:c r="A402" s="25" t="str">
        <x:v>930</x:v>
      </x:c>
      <x:c r="B402" s="25" t="str">
        <x:v>Taxe d’Apprentissage</x:v>
      </x:c>
      <x:c r="C402" s="25" t="str"/>
      <x:c r="D402" s="64" t="n">
        <x:f>Lot_paie!AA14</x:f>
        <x:v>0</x:v>
      </x:c>
      <x:c r="E402" s="64" t="str"/>
      <x:c r="F402" s="64" t="str"/>
      <x:c r="G402" s="66" t="n">
        <x:f>Parametres_Paie!$B$16</x:f>
        <x:v>0.004</x:v>
      </x:c>
      <x:c r="H402" s="64" t="n">
        <x:f>Lot_paie!AN14</x:f>
        <x:v>0</x:v>
      </x:c>
    </x:row>
    <x:row r="403">
      <x:c r="A403" s="25" t="str">
        <x:v>931</x:v>
      </x:c>
      <x:c r="B403" s="25" t="str">
        <x:v>Taxe Formation Professionnelle Continue</x:v>
      </x:c>
      <x:c r="C403" s="25" t="str"/>
      <x:c r="D403" s="64" t="n">
        <x:f>Lot_paie!AA14</x:f>
        <x:v>0</x:v>
      </x:c>
      <x:c r="E403" s="64" t="str"/>
      <x:c r="F403" s="64" t="str"/>
      <x:c r="G403" s="66" t="n">
        <x:f>Parametres_Paie!$B$17</x:f>
        <x:v>0.006</x:v>
      </x:c>
      <x:c r="H403" s="64" t="n">
        <x:f>Lot_paie!AO14</x:f>
        <x:v>0</x:v>
      </x:c>
    </x:row>
    <x:row r="404">
      <x:c r="A404" s="25" t="str">
        <x:v>932</x:v>
      </x:c>
      <x:c r="B404" s="25" t="str">
        <x:v>Taxe FPC Fin d’année</x:v>
      </x:c>
      <x:c r="C404" s="25" t="str"/>
      <x:c r="D404" s="64" t="n">
        <x:f>Lot_paie!AA14</x:f>
        <x:v>0</x:v>
      </x:c>
      <x:c r="E404" s="64" t="str"/>
      <x:c r="F404" s="64" t="str"/>
      <x:c r="G404" s="66" t="n">
        <x:f>Parametres_Paie!$B$18</x:f>
        <x:v>0.006</x:v>
      </x:c>
      <x:c r="H404" s="64" t="n">
        <x:f>Lot_paie!AP14</x:f>
        <x:v>0</x:v>
      </x:c>
    </x:row>
    <x:row r="405">
      <x:c r="A405" s="25" t="str"/>
      <x:c r="B405" s="83" t="str">
        <x:v>Total retenues fiscales et sociales</x:v>
      </x:c>
      <x:c r="C405" s="83" t="str"/>
      <x:c r="D405" s="84" t="str"/>
      <x:c r="E405" s="84" t="str"/>
      <x:c r="F405" s="84" t="n">
        <x:f>Lot_paie!AG14</x:f>
        <x:v>0</x:v>
      </x:c>
      <x:c r="G405" s="85" t="str"/>
      <x:c r="H405" s="84" t="n">
        <x:f>Lot_paie!AQ14</x:f>
        <x:v>0</x:v>
      </x:c>
    </x:row>
    <x:row r="406">
      <x:c r="A406" s="25" t="str">
        <x:v>204</x:v>
      </x:c>
      <x:c r="B406" s="25" t="str">
        <x:v>Indemnité Transport N. Imposable</x:v>
      </x:c>
      <x:c r="C406" s="25" t="str">
        <x:v>30</x:v>
      </x:c>
      <x:c r="D406" s="64" t="n">
        <x:f>Lot_paie!Y14</x:f>
        <x:v>0</x:v>
      </x:c>
      <x:c r="E406" s="64" t="str"/>
      <x:c r="F406" s="64" t="n">
        <x:f>Lot_paie!Y14</x:f>
        <x:v>0</x:v>
      </x:c>
      <x:c r="G406" s="66" t="str"/>
      <x:c r="H406" s="64" t="str"/>
    </x:row>
    <x:row r="407">
      <x:c r="A407" s="25" t="str"/>
      <x:c r="B407" s="25" t="str">
        <x:v>Total gains non imposables</x:v>
      </x:c>
      <x:c r="C407" s="25" t="str"/>
      <x:c r="D407" s="64" t="str"/>
      <x:c r="E407" s="64" t="str"/>
      <x:c r="F407" s="64" t="n">
        <x:f>Lot_paie!AR14</x:f>
        <x:v>0</x:v>
      </x:c>
      <x:c r="G407" s="66" t="str"/>
      <x:c r="H407" s="64" t="str"/>
    </x:row>
    <x:row r="408">
      <x:c r="A408" s="25" t="str"/>
      <x:c r="B408" s="110" t="str">
        <x:v>NET À PAYER</x:v>
      </x:c>
      <x:c r="C408" s="110" t="str"/>
      <x:c r="D408" s="111" t="str"/>
      <x:c r="E408" s="111" t="str"/>
      <x:c r="F408" s="111" t="str"/>
      <x:c r="G408" s="112" t="str"/>
      <x:c r="H408" s="111" t="n">
        <x:f>Lot_paie!AT14</x:f>
        <x:v>0</x:v>
      </x:c>
    </x:row>
    <x:row r="409">
      <x:c r="A409" s="25"/>
      <x:c r="B409" s="25"/>
      <x:c r="C409" s="25"/>
      <x:c r="D409" s="25"/>
      <x:c r="E409" s="25"/>
      <x:c r="F409" s="25"/>
      <x:c r="G409" s="25"/>
      <x:c r="H409" s="25"/>
    </x:row>
    <x:row r="410">
      <x:c r="A410" s="25"/>
      <x:c r="B410" s="25"/>
      <x:c r="C410" s="25"/>
      <x:c r="D410" s="25"/>
      <x:c r="E410" s="25"/>
      <x:c r="F410" s="25"/>
      <x:c r="G410" s="25"/>
      <x:c r="H410" s="25"/>
    </x:row>
    <x:row r="411">
      <x:c r="A411" s="25"/>
      <x:c r="B411" s="25"/>
      <x:c r="C411" s="25"/>
      <x:c r="D411" s="25"/>
      <x:c r="E411" s="25"/>
      <x:c r="F411" s="25"/>
      <x:c r="G411" s="25"/>
      <x:c r="H411" s="25"/>
    </x:row>
    <x:row r="412">
      <x:c r="A412" s="25"/>
      <x:c r="B412" s="25"/>
      <x:c r="C412" s="25"/>
      <x:c r="D412" s="25"/>
      <x:c r="E412" s="25"/>
      <x:c r="F412" s="25"/>
      <x:c r="G412" s="25"/>
      <x:c r="H412" s="25"/>
    </x:row>
    <x:row r="413">
      <x:c r="A413" s="25"/>
      <x:c r="B413" s="25"/>
      <x:c r="C413" s="25"/>
      <x:c r="D413" s="25"/>
      <x:c r="E413" s="25"/>
      <x:c r="F413" s="25"/>
      <x:c r="G413" s="25"/>
      <x:c r="H413" s="25"/>
    </x:row>
    <x:row r="414">
      <x:c r="A414" s="25"/>
      <x:c r="B414" s="25"/>
      <x:c r="C414" s="25"/>
      <x:c r="D414" s="25"/>
      <x:c r="E414" s="25"/>
      <x:c r="F414" s="25"/>
      <x:c r="G414" s="25"/>
      <x:c r="H414" s="25"/>
    </x:row>
    <x:row r="415">
      <x:c r="A415" s="25"/>
      <x:c r="B415" s="25"/>
      <x:c r="C415" s="25"/>
      <x:c r="D415" s="25"/>
      <x:c r="E415" s="25"/>
      <x:c r="F415" s="25"/>
      <x:c r="G415" s="25"/>
      <x:c r="H415" s="25"/>
    </x:row>
    <x:row r="417">
      <x:c r="A417" s="108" t="str">
        <x:v>BULLETIN DE PAIE – AAEA / AfWASA</x:v>
      </x:c>
      <x:c r="B417" s="108"/>
      <x:c r="C417" s="108"/>
      <x:c r="D417" s="108"/>
      <x:c r="E417" s="108"/>
      <x:c r="F417" s="108"/>
      <x:c r="G417" s="108"/>
      <x:c r="H417" s="108"/>
    </x:row>
    <x:row r="418">
      <x:c r="A418" s="25" t="str">
        <x:v>Matricule</x:v>
      </x:c>
      <x:c r="B418" s="25" t="str">
        <x:f>Lot_paie!A15</x:f>
        <x:v>0040N</x:v>
      </x:c>
      <x:c r="C418" s="25" t="str">
        <x:v>Période</x:v>
      </x:c>
      <x:c r="D418" s="25" t="str">
        <x:f>Parametres_Paie!$B$26</x:f>
        <x:v>Janvier 2025</x:v>
      </x:c>
      <x:c r="E418" s="25" t="str">
        <x:v>Paiement</x:v>
      </x:c>
      <x:c r="F418" s="25" t="n">
        <x:f>Parametres_Paie!$B$25</x:f>
        <x:v>45688</x:v>
      </x:c>
      <x:c r="G418" s="25" t="str"/>
      <x:c r="H418" s="25" t="str"/>
    </x:row>
    <x:row r="419">
      <x:c r="A419" s="25" t="str">
        <x:v>Nom et prénom</x:v>
      </x:c>
      <x:c r="B419" s="25" t="str">
        <x:f>Lot_paie!B15&amp;" "&amp;Lot_paie!C15</x:f>
        <x:v>GOHOU NZICKONAN Gisèle Stéphanie</x:v>
      </x:c>
      <x:c r="C419" s="25" t="str">
        <x:v>Poste</x:v>
      </x:c>
      <x:c r="D419" s="25" t="str">
        <x:f>Lot_paie!F15</x:f>
        <x:v>Responsable Communication</x:v>
      </x:c>
      <x:c r="E419" s="25" t="str">
        <x:v>CNPS</x:v>
      </x:c>
      <x:c r="F419" s="25" t="n">
        <x:f>Lot_paie!J15</x:f>
        <x:v>275010704625</x:v>
      </x:c>
      <x:c r="G419" s="25" t="str"/>
      <x:c r="H419" s="25" t="str"/>
    </x:row>
    <x:row r="420">
      <x:c r="A420" s="25" t="str">
        <x:v>Direction</x:v>
      </x:c>
      <x:c r="B420" s="25" t="str">
        <x:f>Lot_paie!D15</x:f>
        <x:v>Cabinet de la Direction Exécutive</x:v>
      </x:c>
      <x:c r="C420" s="25" t="str">
        <x:v>Date entrée</x:v>
      </x:c>
      <x:c r="D420" s="25" t="n">
        <x:f>Lot_paie!I15</x:f>
        <x:v>42795</x:v>
      </x:c>
      <x:c r="E420" s="25" t="str">
        <x:v>Ancienneté</x:v>
      </x:c>
      <x:c r="F420" s="25" t="str">
        <x:f>Lot_paie!V15</x:f>
        <x:v>7 ans (calcul période)</x:v>
      </x:c>
      <x:c r="G420" s="25" t="str"/>
      <x:c r="H420" s="25" t="str"/>
    </x:row>
    <x:row r="421">
      <x:c r="A421" s="25"/>
      <x:c r="B421" s="25"/>
      <x:c r="C421" s="25"/>
      <x:c r="D421" s="25"/>
      <x:c r="E421" s="25"/>
      <x:c r="F421" s="25"/>
      <x:c r="G421" s="25"/>
      <x:c r="H421" s="25"/>
    </x:row>
    <x:row r="422">
      <x:c r="A422" s="14" t="str">
        <x:v>N°</x:v>
      </x:c>
      <x:c r="B422" s="14" t="str">
        <x:v>Désignation</x:v>
      </x:c>
      <x:c r="C422" s="14" t="str">
        <x:v>Nombre</x:v>
      </x:c>
      <x:c r="D422" s="14" t="str">
        <x:v>Base</x:v>
      </x:c>
      <x:c r="E422" s="14" t="str">
        <x:v>Taux Sal.</x:v>
      </x:c>
      <x:c r="F422" s="14" t="str">
        <x:v>Ret. Sal.</x:v>
      </x:c>
      <x:c r="G422" s="14" t="str">
        <x:v>Taux Pat.</x:v>
      </x:c>
      <x:c r="H422" s="14" t="str">
        <x:v>Ret. Pat.</x:v>
      </x:c>
    </x:row>
    <x:row r="423">
      <x:c r="A423" s="25" t="str">
        <x:v>100</x:v>
      </x:c>
      <x:c r="B423" s="25" t="str">
        <x:v>Salaire de base</x:v>
      </x:c>
      <x:c r="C423" s="25" t="str">
        <x:v>30</x:v>
      </x:c>
      <x:c r="D423" s="64" t="n">
        <x:f>Lot_paie!K15</x:f>
        <x:v>0</x:v>
      </x:c>
      <x:c r="E423" s="64" t="str"/>
      <x:c r="F423" s="64" t="str"/>
      <x:c r="G423" s="64" t="str"/>
      <x:c r="H423" s="64" t="str"/>
    </x:row>
    <x:row r="424">
      <x:c r="A424" s="25" t="str">
        <x:v>110</x:v>
      </x:c>
      <x:c r="B424" s="25" t="str">
        <x:v>Sursalaire</x:v>
      </x:c>
      <x:c r="C424" s="25" t="str">
        <x:v>30</x:v>
      </x:c>
      <x:c r="D424" s="64" t="n">
        <x:f>Lot_paie!L15</x:f>
        <x:v>0</x:v>
      </x:c>
      <x:c r="E424" s="64" t="str"/>
      <x:c r="F424" s="64" t="str"/>
      <x:c r="G424" s="64" t="str"/>
      <x:c r="H424" s="64" t="str"/>
    </x:row>
    <x:row r="425">
      <x:c r="A425" s="25" t="str">
        <x:v>120</x:v>
      </x:c>
      <x:c r="B425" s="25" t="str">
        <x:v>Prime ancienneté</x:v>
      </x:c>
      <x:c r="C425" s="25" t="n">
        <x:f>Lot_paie!U15</x:f>
        <x:v>7</x:v>
      </x:c>
      <x:c r="D425" s="64" t="n">
        <x:f>Lot_paie!X15</x:f>
        <x:v>0</x:v>
      </x:c>
      <x:c r="E425" s="64" t="str"/>
      <x:c r="F425" s="64" t="str"/>
      <x:c r="G425" s="64" t="str"/>
      <x:c r="H425" s="64" t="str"/>
    </x:row>
    <x:row r="426">
      <x:c r="A426" s="25" t="str"/>
      <x:c r="B426" s="24" t="str">
        <x:v>Total brut imposable</x:v>
      </x:c>
      <x:c r="C426" s="24" t="str"/>
      <x:c r="D426" s="76" t="str"/>
      <x:c r="E426" s="76" t="str"/>
      <x:c r="F426" s="76" t="n">
        <x:f>Lot_paie!AA15</x:f>
        <x:v>0</x:v>
      </x:c>
      <x:c r="G426" s="76" t="str"/>
      <x:c r="H426" s="76" t="str"/>
    </x:row>
    <x:row r="427">
      <x:c r="A427" s="25" t="str">
        <x:v>810</x:v>
      </x:c>
      <x:c r="B427" s="25" t="str">
        <x:v>C.N.P.S.</x:v>
      </x:c>
      <x:c r="C427" s="25" t="str"/>
      <x:c r="D427" s="64" t="n">
        <x:f>Lot_paie!AB15</x:f>
        <x:v>0</x:v>
      </x:c>
      <x:c r="E427" s="66" t="n">
        <x:f>Parametres_Paie!$B$4</x:f>
        <x:v>0.063</x:v>
      </x:c>
      <x:c r="F427" s="64" t="n">
        <x:f>Lot_paie!AC15</x:f>
        <x:v>0</x:v>
      </x:c>
      <x:c r="G427" s="66" t="n">
        <x:f>Parametres_Paie!$B$5</x:f>
        <x:v>0.077</x:v>
      </x:c>
      <x:c r="H427" s="64" t="n">
        <x:f>Lot_paie!AH15</x:f>
        <x:v>0</x:v>
      </x:c>
    </x:row>
    <x:row r="428">
      <x:c r="A428" s="25" t="str">
        <x:v>815</x:v>
      </x:c>
      <x:c r="B428" s="25" t="str">
        <x:v>Retenue CMU employé</x:v>
      </x:c>
      <x:c r="C428" s="25" t="str"/>
      <x:c r="D428" s="64" t="n">
        <x:f>Lot_paie!AD15</x:f>
        <x:v>0</x:v>
      </x:c>
      <x:c r="E428" s="64" t="str"/>
      <x:c r="F428" s="64" t="n">
        <x:f>Lot_paie!AD15</x:f>
        <x:v>0</x:v>
      </x:c>
      <x:c r="G428" s="66" t="str"/>
      <x:c r="H428" s="64" t="n">
        <x:f>Lot_paie!AL15</x:f>
        <x:v>0</x:v>
      </x:c>
    </x:row>
    <x:row r="429">
      <x:c r="A429" s="25" t="str">
        <x:v>860</x:v>
      </x:c>
      <x:c r="B429" s="25" t="str">
        <x:v>I.T.S</x:v>
      </x:c>
      <x:c r="C429" s="25" t="str"/>
      <x:c r="D429" s="64" t="n">
        <x:f>Lot_paie!AA15</x:f>
        <x:v>0</x:v>
      </x:c>
      <x:c r="E429" s="64" t="str"/>
      <x:c r="F429" s="64" t="n">
        <x:f>Lot_paie!AF15</x:f>
        <x:v>0</x:v>
      </x:c>
      <x:c r="G429" s="66" t="str"/>
      <x:c r="H429" s="64" t="str"/>
    </x:row>
    <x:row r="430">
      <x:c r="A430" s="25" t="str">
        <x:v>912</x:v>
      </x:c>
      <x:c r="B430" s="25" t="str">
        <x:v>Prestation Familiale</x:v>
      </x:c>
      <x:c r="C430" s="25" t="str"/>
      <x:c r="D430" s="64" t="n">
        <x:f>Parametres_Paie!$B$7</x:f>
        <x:v>75000</x:v>
      </x:c>
      <x:c r="E430" s="64" t="str"/>
      <x:c r="F430" s="64" t="str"/>
      <x:c r="G430" s="66" t="n">
        <x:f>Parametres_Paie!$B$8</x:f>
        <x:v>0.05</x:v>
      </x:c>
      <x:c r="H430" s="64" t="n">
        <x:f>Lot_paie!AI15</x:f>
        <x:v>0</x:v>
      </x:c>
    </x:row>
    <x:row r="431">
      <x:c r="A431" s="25" t="str">
        <x:v>913</x:v>
      </x:c>
      <x:c r="B431" s="25" t="str">
        <x:v>Accident de Travail</x:v>
      </x:c>
      <x:c r="C431" s="25" t="str"/>
      <x:c r="D431" s="64" t="n">
        <x:f>Parametres_Paie!$B$7</x:f>
        <x:v>75000</x:v>
      </x:c>
      <x:c r="E431" s="64" t="str"/>
      <x:c r="F431" s="64" t="str"/>
      <x:c r="G431" s="66" t="n">
        <x:f>Lot_paie!T15</x:f>
        <x:v>0.02</x:v>
      </x:c>
      <x:c r="H431" s="64" t="n">
        <x:f>Lot_paie!AJ15</x:f>
        <x:v>0</x:v>
      </x:c>
    </x:row>
    <x:row r="432">
      <x:c r="A432" s="25" t="str">
        <x:v>914</x:v>
      </x:c>
      <x:c r="B432" s="25" t="str">
        <x:v>Assurance Maternité</x:v>
      </x:c>
      <x:c r="C432" s="25" t="str"/>
      <x:c r="D432" s="64" t="n">
        <x:f>Parametres_Paie!$B$7</x:f>
        <x:v>75000</x:v>
      </x:c>
      <x:c r="E432" s="64" t="str"/>
      <x:c r="F432" s="64" t="str"/>
      <x:c r="G432" s="66" t="n">
        <x:f>Parametres_Paie!$B$9</x:f>
        <x:v>0.0075</x:v>
      </x:c>
      <x:c r="H432" s="64" t="n">
        <x:f>Lot_paie!AK15</x:f>
        <x:v>0</x:v>
      </x:c>
    </x:row>
    <x:row r="433">
      <x:c r="A433" s="25" t="str">
        <x:v>924</x:v>
      </x:c>
      <x:c r="B433" s="25" t="str">
        <x:v>I.S. Employeur Local</x:v>
      </x:c>
      <x:c r="C433" s="25" t="str"/>
      <x:c r="D433" s="64" t="n">
        <x:f>Lot_paie!AA15</x:f>
        <x:v>0</x:v>
      </x:c>
      <x:c r="E433" s="64" t="str"/>
      <x:c r="F433" s="64" t="str"/>
      <x:c r="G433" s="66" t="n">
        <x:f>Parametres_Paie!$B$15</x:f>
        <x:v>0.012</x:v>
      </x:c>
      <x:c r="H433" s="64" t="n">
        <x:f>Lot_paie!AM15</x:f>
        <x:v>0</x:v>
      </x:c>
    </x:row>
    <x:row r="434">
      <x:c r="A434" s="25" t="str">
        <x:v>930</x:v>
      </x:c>
      <x:c r="B434" s="25" t="str">
        <x:v>Taxe d’Apprentissage</x:v>
      </x:c>
      <x:c r="C434" s="25" t="str"/>
      <x:c r="D434" s="64" t="n">
        <x:f>Lot_paie!AA15</x:f>
        <x:v>0</x:v>
      </x:c>
      <x:c r="E434" s="64" t="str"/>
      <x:c r="F434" s="64" t="str"/>
      <x:c r="G434" s="66" t="n">
        <x:f>Parametres_Paie!$B$16</x:f>
        <x:v>0.004</x:v>
      </x:c>
      <x:c r="H434" s="64" t="n">
        <x:f>Lot_paie!AN15</x:f>
        <x:v>0</x:v>
      </x:c>
    </x:row>
    <x:row r="435">
      <x:c r="A435" s="25" t="str">
        <x:v>931</x:v>
      </x:c>
      <x:c r="B435" s="25" t="str">
        <x:v>Taxe Formation Professionnelle Continue</x:v>
      </x:c>
      <x:c r="C435" s="25" t="str"/>
      <x:c r="D435" s="64" t="n">
        <x:f>Lot_paie!AA15</x:f>
        <x:v>0</x:v>
      </x:c>
      <x:c r="E435" s="64" t="str"/>
      <x:c r="F435" s="64" t="str"/>
      <x:c r="G435" s="66" t="n">
        <x:f>Parametres_Paie!$B$17</x:f>
        <x:v>0.006</x:v>
      </x:c>
      <x:c r="H435" s="64" t="n">
        <x:f>Lot_paie!AO15</x:f>
        <x:v>0</x:v>
      </x:c>
    </x:row>
    <x:row r="436">
      <x:c r="A436" s="25" t="str">
        <x:v>932</x:v>
      </x:c>
      <x:c r="B436" s="25" t="str">
        <x:v>Taxe FPC Fin d’année</x:v>
      </x:c>
      <x:c r="C436" s="25" t="str"/>
      <x:c r="D436" s="64" t="n">
        <x:f>Lot_paie!AA15</x:f>
        <x:v>0</x:v>
      </x:c>
      <x:c r="E436" s="64" t="str"/>
      <x:c r="F436" s="64" t="str"/>
      <x:c r="G436" s="66" t="n">
        <x:f>Parametres_Paie!$B$18</x:f>
        <x:v>0.006</x:v>
      </x:c>
      <x:c r="H436" s="64" t="n">
        <x:f>Lot_paie!AP15</x:f>
        <x:v>0</x:v>
      </x:c>
    </x:row>
    <x:row r="437">
      <x:c r="A437" s="25" t="str"/>
      <x:c r="B437" s="83" t="str">
        <x:v>Total retenues fiscales et sociales</x:v>
      </x:c>
      <x:c r="C437" s="83" t="str"/>
      <x:c r="D437" s="84" t="str"/>
      <x:c r="E437" s="84" t="str"/>
      <x:c r="F437" s="84" t="n">
        <x:f>Lot_paie!AG15</x:f>
        <x:v>0</x:v>
      </x:c>
      <x:c r="G437" s="85" t="str"/>
      <x:c r="H437" s="84" t="n">
        <x:f>Lot_paie!AQ15</x:f>
        <x:v>0</x:v>
      </x:c>
    </x:row>
    <x:row r="438">
      <x:c r="A438" s="25" t="str">
        <x:v>204</x:v>
      </x:c>
      <x:c r="B438" s="25" t="str">
        <x:v>Indemnité Transport N. Imposable</x:v>
      </x:c>
      <x:c r="C438" s="25" t="str">
        <x:v>30</x:v>
      </x:c>
      <x:c r="D438" s="64" t="n">
        <x:f>Lot_paie!Y15</x:f>
        <x:v>0</x:v>
      </x:c>
      <x:c r="E438" s="64" t="str"/>
      <x:c r="F438" s="64" t="n">
        <x:f>Lot_paie!Y15</x:f>
        <x:v>0</x:v>
      </x:c>
      <x:c r="G438" s="66" t="str"/>
      <x:c r="H438" s="64" t="str"/>
    </x:row>
    <x:row r="439">
      <x:c r="A439" s="25" t="str"/>
      <x:c r="B439" s="25" t="str">
        <x:v>Total gains non imposables</x:v>
      </x:c>
      <x:c r="C439" s="25" t="str"/>
      <x:c r="D439" s="64" t="str"/>
      <x:c r="E439" s="64" t="str"/>
      <x:c r="F439" s="64" t="n">
        <x:f>Lot_paie!AR15</x:f>
        <x:v>0</x:v>
      </x:c>
      <x:c r="G439" s="66" t="str"/>
      <x:c r="H439" s="64" t="str"/>
    </x:row>
    <x:row r="440">
      <x:c r="A440" s="25" t="str"/>
      <x:c r="B440" s="110" t="str">
        <x:v>NET À PAYER</x:v>
      </x:c>
      <x:c r="C440" s="110" t="str"/>
      <x:c r="D440" s="111" t="str"/>
      <x:c r="E440" s="111" t="str"/>
      <x:c r="F440" s="111" t="str"/>
      <x:c r="G440" s="112" t="str"/>
      <x:c r="H440" s="111" t="n">
        <x:f>Lot_paie!AT15</x:f>
        <x:v>0</x:v>
      </x:c>
    </x:row>
    <x:row r="441">
      <x:c r="A441" s="25"/>
      <x:c r="B441" s="25"/>
      <x:c r="C441" s="25"/>
      <x:c r="D441" s="25"/>
      <x:c r="E441" s="25"/>
      <x:c r="F441" s="25"/>
      <x:c r="G441" s="25"/>
      <x:c r="H441" s="25"/>
    </x:row>
    <x:row r="442">
      <x:c r="A442" s="25"/>
      <x:c r="B442" s="25"/>
      <x:c r="C442" s="25"/>
      <x:c r="D442" s="25"/>
      <x:c r="E442" s="25"/>
      <x:c r="F442" s="25"/>
      <x:c r="G442" s="25"/>
      <x:c r="H442" s="25"/>
    </x:row>
    <x:row r="443">
      <x:c r="A443" s="25"/>
      <x:c r="B443" s="25"/>
      <x:c r="C443" s="25"/>
      <x:c r="D443" s="25"/>
      <x:c r="E443" s="25"/>
      <x:c r="F443" s="25"/>
      <x:c r="G443" s="25"/>
      <x:c r="H443" s="25"/>
    </x:row>
    <x:row r="444">
      <x:c r="A444" s="25"/>
      <x:c r="B444" s="25"/>
      <x:c r="C444" s="25"/>
      <x:c r="D444" s="25"/>
      <x:c r="E444" s="25"/>
      <x:c r="F444" s="25"/>
      <x:c r="G444" s="25"/>
      <x:c r="H444" s="25"/>
    </x:row>
    <x:row r="445">
      <x:c r="A445" s="25"/>
      <x:c r="B445" s="25"/>
      <x:c r="C445" s="25"/>
      <x:c r="D445" s="25"/>
      <x:c r="E445" s="25"/>
      <x:c r="F445" s="25"/>
      <x:c r="G445" s="25"/>
      <x:c r="H445" s="25"/>
    </x:row>
    <x:row r="446">
      <x:c r="A446" s="25"/>
      <x:c r="B446" s="25"/>
      <x:c r="C446" s="25"/>
      <x:c r="D446" s="25"/>
      <x:c r="E446" s="25"/>
      <x:c r="F446" s="25"/>
      <x:c r="G446" s="25"/>
      <x:c r="H446" s="25"/>
    </x:row>
    <x:row r="447">
      <x:c r="A447" s="25"/>
      <x:c r="B447" s="25"/>
      <x:c r="C447" s="25"/>
      <x:c r="D447" s="25"/>
      <x:c r="E447" s="25"/>
      <x:c r="F447" s="25"/>
      <x:c r="G447" s="25"/>
      <x:c r="H447" s="25"/>
    </x:row>
    <x:row r="449">
      <x:c r="A449" s="108" t="str">
        <x:v>BULLETIN DE PAIE – AAEA / AfWASA</x:v>
      </x:c>
      <x:c r="B449" s="108"/>
      <x:c r="C449" s="108"/>
      <x:c r="D449" s="108"/>
      <x:c r="E449" s="108"/>
      <x:c r="F449" s="108"/>
      <x:c r="G449" s="108"/>
      <x:c r="H449" s="108"/>
    </x:row>
    <x:row r="450">
      <x:c r="A450" s="25" t="str">
        <x:v>Matricule</x:v>
      </x:c>
      <x:c r="B450" s="25" t="str">
        <x:f>Lot_paie!A16</x:f>
        <x:v>0045A</x:v>
      </x:c>
      <x:c r="C450" s="25" t="str">
        <x:v>Période</x:v>
      </x:c>
      <x:c r="D450" s="25" t="str">
        <x:f>Parametres_Paie!$B$26</x:f>
        <x:v>Janvier 2025</x:v>
      </x:c>
      <x:c r="E450" s="25" t="str">
        <x:v>Paiement</x:v>
      </x:c>
      <x:c r="F450" s="25" t="n">
        <x:f>Parametres_Paie!$B$25</x:f>
        <x:v>45688</x:v>
      </x:c>
      <x:c r="G450" s="25" t="str"/>
      <x:c r="H450" s="25" t="str"/>
    </x:row>
    <x:row r="451">
      <x:c r="A451" s="25" t="str">
        <x:v>Nom et prénom</x:v>
      </x:c>
      <x:c r="B451" s="25" t="str">
        <x:f>Lot_paie!B16&amp;" "&amp;Lot_paie!C16</x:f>
        <x:v>YAO Kan Amos</x:v>
      </x:c>
      <x:c r="C451" s="25" t="str">
        <x:v>Poste</x:v>
      </x:c>
      <x:c r="D451" s="25" t="str">
        <x:f>Lot_paie!F16</x:f>
        <x:v>Chargé des Achats</x:v>
      </x:c>
      <x:c r="E451" s="25" t="str">
        <x:v>CNPS</x:v>
      </x:c>
      <x:c r="F451" s="25" t="n">
        <x:f>Lot_paie!J16</x:f>
        <x:v>178011202993</x:v>
      </x:c>
      <x:c r="G451" s="25" t="str"/>
      <x:c r="H451" s="25" t="str"/>
    </x:row>
    <x:row r="452">
      <x:c r="A452" s="25" t="str">
        <x:v>Direction</x:v>
      </x:c>
      <x:c r="B452" s="25" t="str">
        <x:f>Lot_paie!D16</x:f>
        <x:v>Direction Administrative et Financière</x:v>
      </x:c>
      <x:c r="C452" s="25" t="str">
        <x:v>Date entrée</x:v>
      </x:c>
      <x:c r="D452" s="25" t="n">
        <x:f>Lot_paie!I16</x:f>
        <x:v>43222</x:v>
      </x:c>
      <x:c r="E452" s="25" t="str">
        <x:v>Ancienneté</x:v>
      </x:c>
      <x:c r="F452" s="25" t="str">
        <x:f>Lot_paie!V16</x:f>
        <x:v>6 ans (calcul période)</x:v>
      </x:c>
      <x:c r="G452" s="25" t="str"/>
      <x:c r="H452" s="25" t="str"/>
    </x:row>
    <x:row r="453">
      <x:c r="A453" s="25"/>
      <x:c r="B453" s="25"/>
      <x:c r="C453" s="25"/>
      <x:c r="D453" s="25"/>
      <x:c r="E453" s="25"/>
      <x:c r="F453" s="25"/>
      <x:c r="G453" s="25"/>
      <x:c r="H453" s="25"/>
    </x:row>
    <x:row r="454">
      <x:c r="A454" s="14" t="str">
        <x:v>N°</x:v>
      </x:c>
      <x:c r="B454" s="14" t="str">
        <x:v>Désignation</x:v>
      </x:c>
      <x:c r="C454" s="14" t="str">
        <x:v>Nombre</x:v>
      </x:c>
      <x:c r="D454" s="14" t="str">
        <x:v>Base</x:v>
      </x:c>
      <x:c r="E454" s="14" t="str">
        <x:v>Taux Sal.</x:v>
      </x:c>
      <x:c r="F454" s="14" t="str">
        <x:v>Ret. Sal.</x:v>
      </x:c>
      <x:c r="G454" s="14" t="str">
        <x:v>Taux Pat.</x:v>
      </x:c>
      <x:c r="H454" s="14" t="str">
        <x:v>Ret. Pat.</x:v>
      </x:c>
    </x:row>
    <x:row r="455">
      <x:c r="A455" s="25" t="str">
        <x:v>100</x:v>
      </x:c>
      <x:c r="B455" s="25" t="str">
        <x:v>Salaire de base</x:v>
      </x:c>
      <x:c r="C455" s="25" t="str">
        <x:v>30</x:v>
      </x:c>
      <x:c r="D455" s="64" t="n">
        <x:f>Lot_paie!K16</x:f>
        <x:v>0</x:v>
      </x:c>
      <x:c r="E455" s="64" t="str"/>
      <x:c r="F455" s="64" t="str"/>
      <x:c r="G455" s="64" t="str"/>
      <x:c r="H455" s="64" t="str"/>
    </x:row>
    <x:row r="456">
      <x:c r="A456" s="25" t="str">
        <x:v>110</x:v>
      </x:c>
      <x:c r="B456" s="25" t="str">
        <x:v>Sursalaire</x:v>
      </x:c>
      <x:c r="C456" s="25" t="str">
        <x:v>30</x:v>
      </x:c>
      <x:c r="D456" s="64" t="n">
        <x:f>Lot_paie!L16</x:f>
        <x:v>0</x:v>
      </x:c>
      <x:c r="E456" s="64" t="str"/>
      <x:c r="F456" s="64" t="str"/>
      <x:c r="G456" s="64" t="str"/>
      <x:c r="H456" s="64" t="str"/>
    </x:row>
    <x:row r="457">
      <x:c r="A457" s="25" t="str">
        <x:v>120</x:v>
      </x:c>
      <x:c r="B457" s="25" t="str">
        <x:v>Prime ancienneté</x:v>
      </x:c>
      <x:c r="C457" s="25" t="n">
        <x:f>Lot_paie!U16</x:f>
        <x:v>6</x:v>
      </x:c>
      <x:c r="D457" s="64" t="n">
        <x:f>Lot_paie!X16</x:f>
        <x:v>0</x:v>
      </x:c>
      <x:c r="E457" s="64" t="str"/>
      <x:c r="F457" s="64" t="str"/>
      <x:c r="G457" s="64" t="str"/>
      <x:c r="H457" s="64" t="str"/>
    </x:row>
    <x:row r="458">
      <x:c r="A458" s="25" t="str"/>
      <x:c r="B458" s="24" t="str">
        <x:v>Total brut imposable</x:v>
      </x:c>
      <x:c r="C458" s="24" t="str"/>
      <x:c r="D458" s="76" t="str"/>
      <x:c r="E458" s="76" t="str"/>
      <x:c r="F458" s="76" t="n">
        <x:f>Lot_paie!AA16</x:f>
        <x:v>0</x:v>
      </x:c>
      <x:c r="G458" s="76" t="str"/>
      <x:c r="H458" s="76" t="str"/>
    </x:row>
    <x:row r="459">
      <x:c r="A459" s="25" t="str">
        <x:v>810</x:v>
      </x:c>
      <x:c r="B459" s="25" t="str">
        <x:v>C.N.P.S.</x:v>
      </x:c>
      <x:c r="C459" s="25" t="str"/>
      <x:c r="D459" s="64" t="n">
        <x:f>Lot_paie!AB16</x:f>
        <x:v>0</x:v>
      </x:c>
      <x:c r="E459" s="66" t="n">
        <x:f>Parametres_Paie!$B$4</x:f>
        <x:v>0.063</x:v>
      </x:c>
      <x:c r="F459" s="64" t="n">
        <x:f>Lot_paie!AC16</x:f>
        <x:v>0</x:v>
      </x:c>
      <x:c r="G459" s="66" t="n">
        <x:f>Parametres_Paie!$B$5</x:f>
        <x:v>0.077</x:v>
      </x:c>
      <x:c r="H459" s="64" t="n">
        <x:f>Lot_paie!AH16</x:f>
        <x:v>0</x:v>
      </x:c>
    </x:row>
    <x:row r="460">
      <x:c r="A460" s="25" t="str">
        <x:v>815</x:v>
      </x:c>
      <x:c r="B460" s="25" t="str">
        <x:v>Retenue CMU employé</x:v>
      </x:c>
      <x:c r="C460" s="25" t="str"/>
      <x:c r="D460" s="64" t="n">
        <x:f>Lot_paie!AD16</x:f>
        <x:v>0</x:v>
      </x:c>
      <x:c r="E460" s="64" t="str"/>
      <x:c r="F460" s="64" t="n">
        <x:f>Lot_paie!AD16</x:f>
        <x:v>0</x:v>
      </x:c>
      <x:c r="G460" s="66" t="str"/>
      <x:c r="H460" s="64" t="n">
        <x:f>Lot_paie!AL16</x:f>
        <x:v>0</x:v>
      </x:c>
    </x:row>
    <x:row r="461">
      <x:c r="A461" s="25" t="str">
        <x:v>860</x:v>
      </x:c>
      <x:c r="B461" s="25" t="str">
        <x:v>I.T.S</x:v>
      </x:c>
      <x:c r="C461" s="25" t="str"/>
      <x:c r="D461" s="64" t="n">
        <x:f>Lot_paie!AA16</x:f>
        <x:v>0</x:v>
      </x:c>
      <x:c r="E461" s="64" t="str"/>
      <x:c r="F461" s="64" t="n">
        <x:f>Lot_paie!AF16</x:f>
        <x:v>0</x:v>
      </x:c>
      <x:c r="G461" s="66" t="str"/>
      <x:c r="H461" s="64" t="str"/>
    </x:row>
    <x:row r="462">
      <x:c r="A462" s="25" t="str">
        <x:v>912</x:v>
      </x:c>
      <x:c r="B462" s="25" t="str">
        <x:v>Prestation Familiale</x:v>
      </x:c>
      <x:c r="C462" s="25" t="str"/>
      <x:c r="D462" s="64" t="n">
        <x:f>Parametres_Paie!$B$7</x:f>
        <x:v>75000</x:v>
      </x:c>
      <x:c r="E462" s="64" t="str"/>
      <x:c r="F462" s="64" t="str"/>
      <x:c r="G462" s="66" t="n">
        <x:f>Parametres_Paie!$B$8</x:f>
        <x:v>0.05</x:v>
      </x:c>
      <x:c r="H462" s="64" t="n">
        <x:f>Lot_paie!AI16</x:f>
        <x:v>0</x:v>
      </x:c>
    </x:row>
    <x:row r="463">
      <x:c r="A463" s="25" t="str">
        <x:v>913</x:v>
      </x:c>
      <x:c r="B463" s="25" t="str">
        <x:v>Accident de Travail</x:v>
      </x:c>
      <x:c r="C463" s="25" t="str"/>
      <x:c r="D463" s="64" t="n">
        <x:f>Parametres_Paie!$B$7</x:f>
        <x:v>75000</x:v>
      </x:c>
      <x:c r="E463" s="64" t="str"/>
      <x:c r="F463" s="64" t="str"/>
      <x:c r="G463" s="66" t="n">
        <x:f>Lot_paie!T16</x:f>
        <x:v>0.02</x:v>
      </x:c>
      <x:c r="H463" s="64" t="n">
        <x:f>Lot_paie!AJ16</x:f>
        <x:v>0</x:v>
      </x:c>
    </x:row>
    <x:row r="464">
      <x:c r="A464" s="25" t="str">
        <x:v>914</x:v>
      </x:c>
      <x:c r="B464" s="25" t="str">
        <x:v>Assurance Maternité</x:v>
      </x:c>
      <x:c r="C464" s="25" t="str"/>
      <x:c r="D464" s="64" t="n">
        <x:f>Parametres_Paie!$B$7</x:f>
        <x:v>75000</x:v>
      </x:c>
      <x:c r="E464" s="64" t="str"/>
      <x:c r="F464" s="64" t="str"/>
      <x:c r="G464" s="66" t="n">
        <x:f>Parametres_Paie!$B$9</x:f>
        <x:v>0.0075</x:v>
      </x:c>
      <x:c r="H464" s="64" t="n">
        <x:f>Lot_paie!AK16</x:f>
        <x:v>0</x:v>
      </x:c>
    </x:row>
    <x:row r="465">
      <x:c r="A465" s="25" t="str">
        <x:v>924</x:v>
      </x:c>
      <x:c r="B465" s="25" t="str">
        <x:v>I.S. Employeur Local</x:v>
      </x:c>
      <x:c r="C465" s="25" t="str"/>
      <x:c r="D465" s="64" t="n">
        <x:f>Lot_paie!AA16</x:f>
        <x:v>0</x:v>
      </x:c>
      <x:c r="E465" s="64" t="str"/>
      <x:c r="F465" s="64" t="str"/>
      <x:c r="G465" s="66" t="n">
        <x:f>Parametres_Paie!$B$15</x:f>
        <x:v>0.012</x:v>
      </x:c>
      <x:c r="H465" s="64" t="n">
        <x:f>Lot_paie!AM16</x:f>
        <x:v>0</x:v>
      </x:c>
    </x:row>
    <x:row r="466">
      <x:c r="A466" s="25" t="str">
        <x:v>930</x:v>
      </x:c>
      <x:c r="B466" s="25" t="str">
        <x:v>Taxe d’Apprentissage</x:v>
      </x:c>
      <x:c r="C466" s="25" t="str"/>
      <x:c r="D466" s="64" t="n">
        <x:f>Lot_paie!AA16</x:f>
        <x:v>0</x:v>
      </x:c>
      <x:c r="E466" s="64" t="str"/>
      <x:c r="F466" s="64" t="str"/>
      <x:c r="G466" s="66" t="n">
        <x:f>Parametres_Paie!$B$16</x:f>
        <x:v>0.004</x:v>
      </x:c>
      <x:c r="H466" s="64" t="n">
        <x:f>Lot_paie!AN16</x:f>
        <x:v>0</x:v>
      </x:c>
    </x:row>
    <x:row r="467">
      <x:c r="A467" s="25" t="str">
        <x:v>931</x:v>
      </x:c>
      <x:c r="B467" s="25" t="str">
        <x:v>Taxe Formation Professionnelle Continue</x:v>
      </x:c>
      <x:c r="C467" s="25" t="str"/>
      <x:c r="D467" s="64" t="n">
        <x:f>Lot_paie!AA16</x:f>
        <x:v>0</x:v>
      </x:c>
      <x:c r="E467" s="64" t="str"/>
      <x:c r="F467" s="64" t="str"/>
      <x:c r="G467" s="66" t="n">
        <x:f>Parametres_Paie!$B$17</x:f>
        <x:v>0.006</x:v>
      </x:c>
      <x:c r="H467" s="64" t="n">
        <x:f>Lot_paie!AO16</x:f>
        <x:v>0</x:v>
      </x:c>
    </x:row>
    <x:row r="468">
      <x:c r="A468" s="25" t="str">
        <x:v>932</x:v>
      </x:c>
      <x:c r="B468" s="25" t="str">
        <x:v>Taxe FPC Fin d’année</x:v>
      </x:c>
      <x:c r="C468" s="25" t="str"/>
      <x:c r="D468" s="64" t="n">
        <x:f>Lot_paie!AA16</x:f>
        <x:v>0</x:v>
      </x:c>
      <x:c r="E468" s="64" t="str"/>
      <x:c r="F468" s="64" t="str"/>
      <x:c r="G468" s="66" t="n">
        <x:f>Parametres_Paie!$B$18</x:f>
        <x:v>0.006</x:v>
      </x:c>
      <x:c r="H468" s="64" t="n">
        <x:f>Lot_paie!AP16</x:f>
        <x:v>0</x:v>
      </x:c>
    </x:row>
    <x:row r="469">
      <x:c r="A469" s="25" t="str"/>
      <x:c r="B469" s="83" t="str">
        <x:v>Total retenues fiscales et sociales</x:v>
      </x:c>
      <x:c r="C469" s="83" t="str"/>
      <x:c r="D469" s="84" t="str"/>
      <x:c r="E469" s="84" t="str"/>
      <x:c r="F469" s="84" t="n">
        <x:f>Lot_paie!AG16</x:f>
        <x:v>0</x:v>
      </x:c>
      <x:c r="G469" s="85" t="str"/>
      <x:c r="H469" s="84" t="n">
        <x:f>Lot_paie!AQ16</x:f>
        <x:v>0</x:v>
      </x:c>
    </x:row>
    <x:row r="470">
      <x:c r="A470" s="25" t="str">
        <x:v>204</x:v>
      </x:c>
      <x:c r="B470" s="25" t="str">
        <x:v>Indemnité Transport N. Imposable</x:v>
      </x:c>
      <x:c r="C470" s="25" t="str">
        <x:v>30</x:v>
      </x:c>
      <x:c r="D470" s="64" t="n">
        <x:f>Lot_paie!Y16</x:f>
        <x:v>0</x:v>
      </x:c>
      <x:c r="E470" s="64" t="str"/>
      <x:c r="F470" s="64" t="n">
        <x:f>Lot_paie!Y16</x:f>
        <x:v>0</x:v>
      </x:c>
      <x:c r="G470" s="66" t="str"/>
      <x:c r="H470" s="64" t="str"/>
    </x:row>
    <x:row r="471">
      <x:c r="A471" s="25" t="str"/>
      <x:c r="B471" s="25" t="str">
        <x:v>Total gains non imposables</x:v>
      </x:c>
      <x:c r="C471" s="25" t="str"/>
      <x:c r="D471" s="64" t="str"/>
      <x:c r="E471" s="64" t="str"/>
      <x:c r="F471" s="64" t="n">
        <x:f>Lot_paie!AR16</x:f>
        <x:v>0</x:v>
      </x:c>
      <x:c r="G471" s="66" t="str"/>
      <x:c r="H471" s="64" t="str"/>
    </x:row>
    <x:row r="472">
      <x:c r="A472" s="25" t="str"/>
      <x:c r="B472" s="110" t="str">
        <x:v>NET À PAYER</x:v>
      </x:c>
      <x:c r="C472" s="110" t="str"/>
      <x:c r="D472" s="111" t="str"/>
      <x:c r="E472" s="111" t="str"/>
      <x:c r="F472" s="111" t="str"/>
      <x:c r="G472" s="112" t="str"/>
      <x:c r="H472" s="111" t="n">
        <x:f>Lot_paie!AT16</x:f>
        <x:v>0</x:v>
      </x:c>
    </x:row>
    <x:row r="473">
      <x:c r="A473" s="25"/>
      <x:c r="B473" s="25"/>
      <x:c r="C473" s="25"/>
      <x:c r="D473" s="25"/>
      <x:c r="E473" s="25"/>
      <x:c r="F473" s="25"/>
      <x:c r="G473" s="25"/>
      <x:c r="H473" s="25"/>
    </x:row>
    <x:row r="474">
      <x:c r="A474" s="25"/>
      <x:c r="B474" s="25"/>
      <x:c r="C474" s="25"/>
      <x:c r="D474" s="25"/>
      <x:c r="E474" s="25"/>
      <x:c r="F474" s="25"/>
      <x:c r="G474" s="25"/>
      <x:c r="H474" s="25"/>
    </x:row>
    <x:row r="475">
      <x:c r="A475" s="25"/>
      <x:c r="B475" s="25"/>
      <x:c r="C475" s="25"/>
      <x:c r="D475" s="25"/>
      <x:c r="E475" s="25"/>
      <x:c r="F475" s="25"/>
      <x:c r="G475" s="25"/>
      <x:c r="H475" s="25"/>
    </x:row>
    <x:row r="476">
      <x:c r="A476" s="25"/>
      <x:c r="B476" s="25"/>
      <x:c r="C476" s="25"/>
      <x:c r="D476" s="25"/>
      <x:c r="E476" s="25"/>
      <x:c r="F476" s="25"/>
      <x:c r="G476" s="25"/>
      <x:c r="H476" s="25"/>
    </x:row>
    <x:row r="477">
      <x:c r="A477" s="25"/>
      <x:c r="B477" s="25"/>
      <x:c r="C477" s="25"/>
      <x:c r="D477" s="25"/>
      <x:c r="E477" s="25"/>
      <x:c r="F477" s="25"/>
      <x:c r="G477" s="25"/>
      <x:c r="H477" s="25"/>
    </x:row>
    <x:row r="478">
      <x:c r="A478" s="25"/>
      <x:c r="B478" s="25"/>
      <x:c r="C478" s="25"/>
      <x:c r="D478" s="25"/>
      <x:c r="E478" s="25"/>
      <x:c r="F478" s="25"/>
      <x:c r="G478" s="25"/>
      <x:c r="H478" s="25"/>
    </x:row>
    <x:row r="479">
      <x:c r="A479" s="25"/>
      <x:c r="B479" s="25"/>
      <x:c r="C479" s="25"/>
      <x:c r="D479" s="25"/>
      <x:c r="E479" s="25"/>
      <x:c r="F479" s="25"/>
      <x:c r="G479" s="25"/>
      <x:c r="H479" s="25"/>
    </x:row>
    <x:row r="481">
      <x:c r="A481" s="108" t="str">
        <x:v>BULLETIN DE PAIE – AAEA / AfWASA</x:v>
      </x:c>
      <x:c r="B481" s="108"/>
      <x:c r="C481" s="108"/>
      <x:c r="D481" s="108"/>
      <x:c r="E481" s="108"/>
      <x:c r="F481" s="108"/>
      <x:c r="G481" s="108"/>
      <x:c r="H481" s="108"/>
    </x:row>
    <x:row r="482">
      <x:c r="A482" s="25" t="str">
        <x:v>Matricule</x:v>
      </x:c>
      <x:c r="B482" s="25" t="str">
        <x:f>Lot_paie!A17</x:f>
        <x:v>0046J</x:v>
      </x:c>
      <x:c r="C482" s="25" t="str">
        <x:v>Période</x:v>
      </x:c>
      <x:c r="D482" s="25" t="str">
        <x:f>Parametres_Paie!$B$26</x:f>
        <x:v>Janvier 2025</x:v>
      </x:c>
      <x:c r="E482" s="25" t="str">
        <x:v>Paiement</x:v>
      </x:c>
      <x:c r="F482" s="25" t="n">
        <x:f>Parametres_Paie!$B$25</x:f>
        <x:v>45688</x:v>
      </x:c>
      <x:c r="G482" s="25" t="str"/>
      <x:c r="H482" s="25" t="str"/>
    </x:row>
    <x:row r="483">
      <x:c r="A483" s="25" t="str">
        <x:v>Nom et prénom</x:v>
      </x:c>
      <x:c r="B483" s="25" t="str">
        <x:f>Lot_paie!B17&amp;" "&amp;Lot_paie!C17</x:f>
        <x:v>KOUADIO Konan Emmanuel</x:v>
      </x:c>
      <x:c r="C483" s="25" t="str">
        <x:v>Poste</x:v>
      </x:c>
      <x:c r="D483" s="25" t="str">
        <x:f>Lot_paie!F17</x:f>
        <x:v>Responsable des Ressources Humaines</x:v>
      </x:c>
      <x:c r="E483" s="25" t="str">
        <x:v>CNPS</x:v>
      </x:c>
      <x:c r="F483" s="25" t="n">
        <x:f>Lot_paie!J17</x:f>
        <x:v>176011131367</x:v>
      </x:c>
      <x:c r="G483" s="25" t="str"/>
      <x:c r="H483" s="25" t="str"/>
    </x:row>
    <x:row r="484">
      <x:c r="A484" s="25" t="str">
        <x:v>Direction</x:v>
      </x:c>
      <x:c r="B484" s="25" t="str">
        <x:f>Lot_paie!D17</x:f>
        <x:v>Direction Administrative et Financière</x:v>
      </x:c>
      <x:c r="C484" s="25" t="str">
        <x:v>Date entrée</x:v>
      </x:c>
      <x:c r="D484" s="25" t="n">
        <x:f>Lot_paie!I17</x:f>
        <x:v>43662</x:v>
      </x:c>
      <x:c r="E484" s="25" t="str">
        <x:v>Ancienneté</x:v>
      </x:c>
      <x:c r="F484" s="25" t="str">
        <x:f>Lot_paie!V17</x:f>
        <x:v>5 ans (calcul période)</x:v>
      </x:c>
      <x:c r="G484" s="25" t="str"/>
      <x:c r="H484" s="25" t="str"/>
    </x:row>
    <x:row r="485">
      <x:c r="A485" s="25"/>
      <x:c r="B485" s="25"/>
      <x:c r="C485" s="25"/>
      <x:c r="D485" s="25"/>
      <x:c r="E485" s="25"/>
      <x:c r="F485" s="25"/>
      <x:c r="G485" s="25"/>
      <x:c r="H485" s="25"/>
    </x:row>
    <x:row r="486">
      <x:c r="A486" s="14" t="str">
        <x:v>N°</x:v>
      </x:c>
      <x:c r="B486" s="14" t="str">
        <x:v>Désignation</x:v>
      </x:c>
      <x:c r="C486" s="14" t="str">
        <x:v>Nombre</x:v>
      </x:c>
      <x:c r="D486" s="14" t="str">
        <x:v>Base</x:v>
      </x:c>
      <x:c r="E486" s="14" t="str">
        <x:v>Taux Sal.</x:v>
      </x:c>
      <x:c r="F486" s="14" t="str">
        <x:v>Ret. Sal.</x:v>
      </x:c>
      <x:c r="G486" s="14" t="str">
        <x:v>Taux Pat.</x:v>
      </x:c>
      <x:c r="H486" s="14" t="str">
        <x:v>Ret. Pat.</x:v>
      </x:c>
    </x:row>
    <x:row r="487">
      <x:c r="A487" s="25" t="str">
        <x:v>100</x:v>
      </x:c>
      <x:c r="B487" s="25" t="str">
        <x:v>Salaire de base</x:v>
      </x:c>
      <x:c r="C487" s="25" t="str">
        <x:v>30</x:v>
      </x:c>
      <x:c r="D487" s="64" t="n">
        <x:f>Lot_paie!K17</x:f>
        <x:v>0</x:v>
      </x:c>
      <x:c r="E487" s="64" t="str"/>
      <x:c r="F487" s="64" t="str"/>
      <x:c r="G487" s="64" t="str"/>
      <x:c r="H487" s="64" t="str"/>
    </x:row>
    <x:row r="488">
      <x:c r="A488" s="25" t="str">
        <x:v>110</x:v>
      </x:c>
      <x:c r="B488" s="25" t="str">
        <x:v>Sursalaire</x:v>
      </x:c>
      <x:c r="C488" s="25" t="str">
        <x:v>30</x:v>
      </x:c>
      <x:c r="D488" s="64" t="n">
        <x:f>Lot_paie!L17</x:f>
        <x:v>0</x:v>
      </x:c>
      <x:c r="E488" s="64" t="str"/>
      <x:c r="F488" s="64" t="str"/>
      <x:c r="G488" s="64" t="str"/>
      <x:c r="H488" s="64" t="str"/>
    </x:row>
    <x:row r="489">
      <x:c r="A489" s="25" t="str">
        <x:v>120</x:v>
      </x:c>
      <x:c r="B489" s="25" t="str">
        <x:v>Prime ancienneté</x:v>
      </x:c>
      <x:c r="C489" s="25" t="n">
        <x:f>Lot_paie!U17</x:f>
        <x:v>5</x:v>
      </x:c>
      <x:c r="D489" s="64" t="n">
        <x:f>Lot_paie!X17</x:f>
        <x:v>0</x:v>
      </x:c>
      <x:c r="E489" s="64" t="str"/>
      <x:c r="F489" s="64" t="str"/>
      <x:c r="G489" s="64" t="str"/>
      <x:c r="H489" s="64" t="str"/>
    </x:row>
    <x:row r="490">
      <x:c r="A490" s="25" t="str"/>
      <x:c r="B490" s="24" t="str">
        <x:v>Total brut imposable</x:v>
      </x:c>
      <x:c r="C490" s="24" t="str"/>
      <x:c r="D490" s="76" t="str"/>
      <x:c r="E490" s="76" t="str"/>
      <x:c r="F490" s="76" t="n">
        <x:f>Lot_paie!AA17</x:f>
        <x:v>0</x:v>
      </x:c>
      <x:c r="G490" s="76" t="str"/>
      <x:c r="H490" s="76" t="str"/>
    </x:row>
    <x:row r="491">
      <x:c r="A491" s="25" t="str">
        <x:v>810</x:v>
      </x:c>
      <x:c r="B491" s="25" t="str">
        <x:v>C.N.P.S.</x:v>
      </x:c>
      <x:c r="C491" s="25" t="str"/>
      <x:c r="D491" s="64" t="n">
        <x:f>Lot_paie!AB17</x:f>
        <x:v>0</x:v>
      </x:c>
      <x:c r="E491" s="66" t="n">
        <x:f>Parametres_Paie!$B$4</x:f>
        <x:v>0.063</x:v>
      </x:c>
      <x:c r="F491" s="64" t="n">
        <x:f>Lot_paie!AC17</x:f>
        <x:v>0</x:v>
      </x:c>
      <x:c r="G491" s="66" t="n">
        <x:f>Parametres_Paie!$B$5</x:f>
        <x:v>0.077</x:v>
      </x:c>
      <x:c r="H491" s="64" t="n">
        <x:f>Lot_paie!AH17</x:f>
        <x:v>0</x:v>
      </x:c>
    </x:row>
    <x:row r="492">
      <x:c r="A492" s="25" t="str">
        <x:v>815</x:v>
      </x:c>
      <x:c r="B492" s="25" t="str">
        <x:v>Retenue CMU employé</x:v>
      </x:c>
      <x:c r="C492" s="25" t="str"/>
      <x:c r="D492" s="64" t="n">
        <x:f>Lot_paie!AD17</x:f>
        <x:v>0</x:v>
      </x:c>
      <x:c r="E492" s="64" t="str"/>
      <x:c r="F492" s="64" t="n">
        <x:f>Lot_paie!AD17</x:f>
        <x:v>0</x:v>
      </x:c>
      <x:c r="G492" s="66" t="str"/>
      <x:c r="H492" s="64" t="n">
        <x:f>Lot_paie!AL17</x:f>
        <x:v>0</x:v>
      </x:c>
    </x:row>
    <x:row r="493">
      <x:c r="A493" s="25" t="str">
        <x:v>860</x:v>
      </x:c>
      <x:c r="B493" s="25" t="str">
        <x:v>I.T.S</x:v>
      </x:c>
      <x:c r="C493" s="25" t="str"/>
      <x:c r="D493" s="64" t="n">
        <x:f>Lot_paie!AA17</x:f>
        <x:v>0</x:v>
      </x:c>
      <x:c r="E493" s="64" t="str"/>
      <x:c r="F493" s="64" t="n">
        <x:f>Lot_paie!AF17</x:f>
        <x:v>0</x:v>
      </x:c>
      <x:c r="G493" s="66" t="str"/>
      <x:c r="H493" s="64" t="str"/>
    </x:row>
    <x:row r="494">
      <x:c r="A494" s="25" t="str">
        <x:v>912</x:v>
      </x:c>
      <x:c r="B494" s="25" t="str">
        <x:v>Prestation Familiale</x:v>
      </x:c>
      <x:c r="C494" s="25" t="str"/>
      <x:c r="D494" s="64" t="n">
        <x:f>Parametres_Paie!$B$7</x:f>
        <x:v>75000</x:v>
      </x:c>
      <x:c r="E494" s="64" t="str"/>
      <x:c r="F494" s="64" t="str"/>
      <x:c r="G494" s="66" t="n">
        <x:f>Parametres_Paie!$B$8</x:f>
        <x:v>0.05</x:v>
      </x:c>
      <x:c r="H494" s="64" t="n">
        <x:f>Lot_paie!AI17</x:f>
        <x:v>0</x:v>
      </x:c>
    </x:row>
    <x:row r="495">
      <x:c r="A495" s="25" t="str">
        <x:v>913</x:v>
      </x:c>
      <x:c r="B495" s="25" t="str">
        <x:v>Accident de Travail</x:v>
      </x:c>
      <x:c r="C495" s="25" t="str"/>
      <x:c r="D495" s="64" t="n">
        <x:f>Parametres_Paie!$B$7</x:f>
        <x:v>75000</x:v>
      </x:c>
      <x:c r="E495" s="64" t="str"/>
      <x:c r="F495" s="64" t="str"/>
      <x:c r="G495" s="66" t="n">
        <x:f>Lot_paie!T17</x:f>
        <x:v>0.02</x:v>
      </x:c>
      <x:c r="H495" s="64" t="n">
        <x:f>Lot_paie!AJ17</x:f>
        <x:v>0</x:v>
      </x:c>
    </x:row>
    <x:row r="496">
      <x:c r="A496" s="25" t="str">
        <x:v>914</x:v>
      </x:c>
      <x:c r="B496" s="25" t="str">
        <x:v>Assurance Maternité</x:v>
      </x:c>
      <x:c r="C496" s="25" t="str"/>
      <x:c r="D496" s="64" t="n">
        <x:f>Parametres_Paie!$B$7</x:f>
        <x:v>75000</x:v>
      </x:c>
      <x:c r="E496" s="64" t="str"/>
      <x:c r="F496" s="64" t="str"/>
      <x:c r="G496" s="66" t="n">
        <x:f>Parametres_Paie!$B$9</x:f>
        <x:v>0.0075</x:v>
      </x:c>
      <x:c r="H496" s="64" t="n">
        <x:f>Lot_paie!AK17</x:f>
        <x:v>0</x:v>
      </x:c>
    </x:row>
    <x:row r="497">
      <x:c r="A497" s="25" t="str">
        <x:v>924</x:v>
      </x:c>
      <x:c r="B497" s="25" t="str">
        <x:v>I.S. Employeur Local</x:v>
      </x:c>
      <x:c r="C497" s="25" t="str"/>
      <x:c r="D497" s="64" t="n">
        <x:f>Lot_paie!AA17</x:f>
        <x:v>0</x:v>
      </x:c>
      <x:c r="E497" s="64" t="str"/>
      <x:c r="F497" s="64" t="str"/>
      <x:c r="G497" s="66" t="n">
        <x:f>Parametres_Paie!$B$15</x:f>
        <x:v>0.012</x:v>
      </x:c>
      <x:c r="H497" s="64" t="n">
        <x:f>Lot_paie!AM17</x:f>
        <x:v>0</x:v>
      </x:c>
    </x:row>
    <x:row r="498">
      <x:c r="A498" s="25" t="str">
        <x:v>930</x:v>
      </x:c>
      <x:c r="B498" s="25" t="str">
        <x:v>Taxe d’Apprentissage</x:v>
      </x:c>
      <x:c r="C498" s="25" t="str"/>
      <x:c r="D498" s="64" t="n">
        <x:f>Lot_paie!AA17</x:f>
        <x:v>0</x:v>
      </x:c>
      <x:c r="E498" s="64" t="str"/>
      <x:c r="F498" s="64" t="str"/>
      <x:c r="G498" s="66" t="n">
        <x:f>Parametres_Paie!$B$16</x:f>
        <x:v>0.004</x:v>
      </x:c>
      <x:c r="H498" s="64" t="n">
        <x:f>Lot_paie!AN17</x:f>
        <x:v>0</x:v>
      </x:c>
    </x:row>
    <x:row r="499">
      <x:c r="A499" s="25" t="str">
        <x:v>931</x:v>
      </x:c>
      <x:c r="B499" s="25" t="str">
        <x:v>Taxe Formation Professionnelle Continue</x:v>
      </x:c>
      <x:c r="C499" s="25" t="str"/>
      <x:c r="D499" s="64" t="n">
        <x:f>Lot_paie!AA17</x:f>
        <x:v>0</x:v>
      </x:c>
      <x:c r="E499" s="64" t="str"/>
      <x:c r="F499" s="64" t="str"/>
      <x:c r="G499" s="66" t="n">
        <x:f>Parametres_Paie!$B$17</x:f>
        <x:v>0.006</x:v>
      </x:c>
      <x:c r="H499" s="64" t="n">
        <x:f>Lot_paie!AO17</x:f>
        <x:v>0</x:v>
      </x:c>
    </x:row>
    <x:row r="500">
      <x:c r="A500" s="25" t="str">
        <x:v>932</x:v>
      </x:c>
      <x:c r="B500" s="25" t="str">
        <x:v>Taxe FPC Fin d’année</x:v>
      </x:c>
      <x:c r="C500" s="25" t="str"/>
      <x:c r="D500" s="64" t="n">
        <x:f>Lot_paie!AA17</x:f>
        <x:v>0</x:v>
      </x:c>
      <x:c r="E500" s="64" t="str"/>
      <x:c r="F500" s="64" t="str"/>
      <x:c r="G500" s="66" t="n">
        <x:f>Parametres_Paie!$B$18</x:f>
        <x:v>0.006</x:v>
      </x:c>
      <x:c r="H500" s="64" t="n">
        <x:f>Lot_paie!AP17</x:f>
        <x:v>0</x:v>
      </x:c>
    </x:row>
    <x:row r="501">
      <x:c r="A501" s="25" t="str"/>
      <x:c r="B501" s="83" t="str">
        <x:v>Total retenues fiscales et sociales</x:v>
      </x:c>
      <x:c r="C501" s="83" t="str"/>
      <x:c r="D501" s="84" t="str"/>
      <x:c r="E501" s="84" t="str"/>
      <x:c r="F501" s="84" t="n">
        <x:f>Lot_paie!AG17</x:f>
        <x:v>0</x:v>
      </x:c>
      <x:c r="G501" s="85" t="str"/>
      <x:c r="H501" s="84" t="n">
        <x:f>Lot_paie!AQ17</x:f>
        <x:v>0</x:v>
      </x:c>
    </x:row>
    <x:row r="502">
      <x:c r="A502" s="25" t="str">
        <x:v>204</x:v>
      </x:c>
      <x:c r="B502" s="25" t="str">
        <x:v>Indemnité Transport N. Imposable</x:v>
      </x:c>
      <x:c r="C502" s="25" t="str">
        <x:v>30</x:v>
      </x:c>
      <x:c r="D502" s="64" t="n">
        <x:f>Lot_paie!Y17</x:f>
        <x:v>0</x:v>
      </x:c>
      <x:c r="E502" s="64" t="str"/>
      <x:c r="F502" s="64" t="n">
        <x:f>Lot_paie!Y17</x:f>
        <x:v>0</x:v>
      </x:c>
      <x:c r="G502" s="66" t="str"/>
      <x:c r="H502" s="64" t="str"/>
    </x:row>
    <x:row r="503">
      <x:c r="A503" s="25" t="str"/>
      <x:c r="B503" s="25" t="str">
        <x:v>Total gains non imposables</x:v>
      </x:c>
      <x:c r="C503" s="25" t="str"/>
      <x:c r="D503" s="64" t="str"/>
      <x:c r="E503" s="64" t="str"/>
      <x:c r="F503" s="64" t="n">
        <x:f>Lot_paie!AR17</x:f>
        <x:v>0</x:v>
      </x:c>
      <x:c r="G503" s="66" t="str"/>
      <x:c r="H503" s="64" t="str"/>
    </x:row>
    <x:row r="504">
      <x:c r="A504" s="25" t="str"/>
      <x:c r="B504" s="110" t="str">
        <x:v>NET À PAYER</x:v>
      </x:c>
      <x:c r="C504" s="110" t="str"/>
      <x:c r="D504" s="111" t="str"/>
      <x:c r="E504" s="111" t="str"/>
      <x:c r="F504" s="111" t="str"/>
      <x:c r="G504" s="112" t="str"/>
      <x:c r="H504" s="111" t="n">
        <x:f>Lot_paie!AT17</x:f>
        <x:v>0</x:v>
      </x:c>
    </x:row>
    <x:row r="505">
      <x:c r="A505" s="25"/>
      <x:c r="B505" s="25"/>
      <x:c r="C505" s="25"/>
      <x:c r="D505" s="25"/>
      <x:c r="E505" s="25"/>
      <x:c r="F505" s="25"/>
      <x:c r="G505" s="25"/>
      <x:c r="H505" s="25"/>
    </x:row>
    <x:row r="506">
      <x:c r="A506" s="25"/>
      <x:c r="B506" s="25"/>
      <x:c r="C506" s="25"/>
      <x:c r="D506" s="25"/>
      <x:c r="E506" s="25"/>
      <x:c r="F506" s="25"/>
      <x:c r="G506" s="25"/>
      <x:c r="H506" s="25"/>
    </x:row>
    <x:row r="507">
      <x:c r="A507" s="25"/>
      <x:c r="B507" s="25"/>
      <x:c r="C507" s="25"/>
      <x:c r="D507" s="25"/>
      <x:c r="E507" s="25"/>
      <x:c r="F507" s="25"/>
      <x:c r="G507" s="25"/>
      <x:c r="H507" s="25"/>
    </x:row>
    <x:row r="508">
      <x:c r="A508" s="25"/>
      <x:c r="B508" s="25"/>
      <x:c r="C508" s="25"/>
      <x:c r="D508" s="25"/>
      <x:c r="E508" s="25"/>
      <x:c r="F508" s="25"/>
      <x:c r="G508" s="25"/>
      <x:c r="H508" s="25"/>
    </x:row>
    <x:row r="509">
      <x:c r="A509" s="25"/>
      <x:c r="B509" s="25"/>
      <x:c r="C509" s="25"/>
      <x:c r="D509" s="25"/>
      <x:c r="E509" s="25"/>
      <x:c r="F509" s="25"/>
      <x:c r="G509" s="25"/>
      <x:c r="H509" s="25"/>
    </x:row>
    <x:row r="510">
      <x:c r="A510" s="25"/>
      <x:c r="B510" s="25"/>
      <x:c r="C510" s="25"/>
      <x:c r="D510" s="25"/>
      <x:c r="E510" s="25"/>
      <x:c r="F510" s="25"/>
      <x:c r="G510" s="25"/>
      <x:c r="H510" s="25"/>
    </x:row>
    <x:row r="511">
      <x:c r="A511" s="25"/>
      <x:c r="B511" s="25"/>
      <x:c r="C511" s="25"/>
      <x:c r="D511" s="25"/>
      <x:c r="E511" s="25"/>
      <x:c r="F511" s="25"/>
      <x:c r="G511" s="25"/>
      <x:c r="H511" s="25"/>
    </x:row>
    <x:row r="513">
      <x:c r="A513" s="108" t="str">
        <x:v>BULLETIN DE PAIE – AAEA / AfWASA</x:v>
      </x:c>
      <x:c r="B513" s="108"/>
      <x:c r="C513" s="108"/>
      <x:c r="D513" s="108"/>
      <x:c r="E513" s="108"/>
      <x:c r="F513" s="108"/>
      <x:c r="G513" s="108"/>
      <x:c r="H513" s="108"/>
    </x:row>
    <x:row r="514">
      <x:c r="A514" s="25" t="str">
        <x:v>Matricule</x:v>
      </x:c>
      <x:c r="B514" s="25" t="str">
        <x:f>Lot_paie!A18</x:f>
        <x:v>0062J</x:v>
      </x:c>
      <x:c r="C514" s="25" t="str">
        <x:v>Période</x:v>
      </x:c>
      <x:c r="D514" s="25" t="str">
        <x:f>Parametres_Paie!$B$26</x:f>
        <x:v>Janvier 2025</x:v>
      </x:c>
      <x:c r="E514" s="25" t="str">
        <x:v>Paiement</x:v>
      </x:c>
      <x:c r="F514" s="25" t="n">
        <x:f>Parametres_Paie!$B$25</x:f>
        <x:v>45688</x:v>
      </x:c>
      <x:c r="G514" s="25" t="str"/>
      <x:c r="H514" s="25" t="str"/>
    </x:row>
    <x:row r="515">
      <x:c r="A515" s="25" t="str">
        <x:v>Nom et prénom</x:v>
      </x:c>
      <x:c r="B515" s="25" t="str">
        <x:f>Lot_paie!B18&amp;" "&amp;Lot_paie!C18</x:f>
        <x:v>ACKUN AGYEIWAA Leticia</x:v>
      </x:c>
      <x:c r="C515" s="25" t="str">
        <x:v>Poste</x:v>
      </x:c>
      <x:c r="D515" s="25" t="str">
        <x:f>Lot_paie!F18</x:f>
        <x:v>Spécialiste en Genre Chargée de Développement des Membres</x:v>
      </x:c>
      <x:c r="E515" s="25" t="str">
        <x:v>CNPS</x:v>
      </x:c>
      <x:c r="F515" s="25" t="n">
        <x:f>Lot_paie!J18</x:f>
        <x:v>202100064064</x:v>
      </x:c>
      <x:c r="G515" s="25" t="str"/>
      <x:c r="H515" s="25" t="str"/>
    </x:row>
    <x:row r="516">
      <x:c r="A516" s="25" t="str">
        <x:v>Direction</x:v>
      </x:c>
      <x:c r="B516" s="25" t="str">
        <x:f>Lot_paie!D18</x:f>
        <x:v>Direction des Services aux Membres et des Programmes</x:v>
      </x:c>
      <x:c r="C516" s="25" t="str">
        <x:v>Date entrée</x:v>
      </x:c>
      <x:c r="D516" s="25" t="n">
        <x:f>Lot_paie!I18</x:f>
        <x:v>44211</x:v>
      </x:c>
      <x:c r="E516" s="25" t="str">
        <x:v>Ancienneté</x:v>
      </x:c>
      <x:c r="F516" s="25" t="str">
        <x:f>Lot_paie!V18</x:f>
        <x:v>4 ans (calcul période)</x:v>
      </x:c>
      <x:c r="G516" s="25" t="str"/>
      <x:c r="H516" s="25" t="str"/>
    </x:row>
    <x:row r="517">
      <x:c r="A517" s="25"/>
      <x:c r="B517" s="25"/>
      <x:c r="C517" s="25"/>
      <x:c r="D517" s="25"/>
      <x:c r="E517" s="25"/>
      <x:c r="F517" s="25"/>
      <x:c r="G517" s="25"/>
      <x:c r="H517" s="25"/>
    </x:row>
    <x:row r="518">
      <x:c r="A518" s="14" t="str">
        <x:v>N°</x:v>
      </x:c>
      <x:c r="B518" s="14" t="str">
        <x:v>Désignation</x:v>
      </x:c>
      <x:c r="C518" s="14" t="str">
        <x:v>Nombre</x:v>
      </x:c>
      <x:c r="D518" s="14" t="str">
        <x:v>Base</x:v>
      </x:c>
      <x:c r="E518" s="14" t="str">
        <x:v>Taux Sal.</x:v>
      </x:c>
      <x:c r="F518" s="14" t="str">
        <x:v>Ret. Sal.</x:v>
      </x:c>
      <x:c r="G518" s="14" t="str">
        <x:v>Taux Pat.</x:v>
      </x:c>
      <x:c r="H518" s="14" t="str">
        <x:v>Ret. Pat.</x:v>
      </x:c>
    </x:row>
    <x:row r="519">
      <x:c r="A519" s="25" t="str">
        <x:v>100</x:v>
      </x:c>
      <x:c r="B519" s="25" t="str">
        <x:v>Salaire de base</x:v>
      </x:c>
      <x:c r="C519" s="25" t="str">
        <x:v>30</x:v>
      </x:c>
      <x:c r="D519" s="64" t="n">
        <x:f>Lot_paie!K18</x:f>
        <x:v>0</x:v>
      </x:c>
      <x:c r="E519" s="64" t="str"/>
      <x:c r="F519" s="64" t="str"/>
      <x:c r="G519" s="64" t="str"/>
      <x:c r="H519" s="64" t="str"/>
    </x:row>
    <x:row r="520">
      <x:c r="A520" s="25" t="str">
        <x:v>110</x:v>
      </x:c>
      <x:c r="B520" s="25" t="str">
        <x:v>Sursalaire</x:v>
      </x:c>
      <x:c r="C520" s="25" t="str">
        <x:v>30</x:v>
      </x:c>
      <x:c r="D520" s="64" t="n">
        <x:f>Lot_paie!L18</x:f>
        <x:v>0</x:v>
      </x:c>
      <x:c r="E520" s="64" t="str"/>
      <x:c r="F520" s="64" t="str"/>
      <x:c r="G520" s="64" t="str"/>
      <x:c r="H520" s="64" t="str"/>
    </x:row>
    <x:row r="521">
      <x:c r="A521" s="25" t="str">
        <x:v>120</x:v>
      </x:c>
      <x:c r="B521" s="25" t="str">
        <x:v>Prime ancienneté</x:v>
      </x:c>
      <x:c r="C521" s="25" t="n">
        <x:f>Lot_paie!U18</x:f>
        <x:v>4</x:v>
      </x:c>
      <x:c r="D521" s="64" t="n">
        <x:f>Lot_paie!X18</x:f>
        <x:v>0</x:v>
      </x:c>
      <x:c r="E521" s="64" t="str"/>
      <x:c r="F521" s="64" t="str"/>
      <x:c r="G521" s="64" t="str"/>
      <x:c r="H521" s="64" t="str"/>
    </x:row>
    <x:row r="522">
      <x:c r="A522" s="25" t="str"/>
      <x:c r="B522" s="24" t="str">
        <x:v>Total brut imposable</x:v>
      </x:c>
      <x:c r="C522" s="24" t="str"/>
      <x:c r="D522" s="76" t="str"/>
      <x:c r="E522" s="76" t="str"/>
      <x:c r="F522" s="76" t="n">
        <x:f>Lot_paie!AA18</x:f>
        <x:v>0</x:v>
      </x:c>
      <x:c r="G522" s="76" t="str"/>
      <x:c r="H522" s="76" t="str"/>
    </x:row>
    <x:row r="523">
      <x:c r="A523" s="25" t="str">
        <x:v>810</x:v>
      </x:c>
      <x:c r="B523" s="25" t="str">
        <x:v>C.N.P.S.</x:v>
      </x:c>
      <x:c r="C523" s="25" t="str"/>
      <x:c r="D523" s="64" t="n">
        <x:f>Lot_paie!AB18</x:f>
        <x:v>0</x:v>
      </x:c>
      <x:c r="E523" s="66" t="n">
        <x:f>Parametres_Paie!$B$4</x:f>
        <x:v>0.063</x:v>
      </x:c>
      <x:c r="F523" s="64" t="n">
        <x:f>Lot_paie!AC18</x:f>
        <x:v>0</x:v>
      </x:c>
      <x:c r="G523" s="66" t="n">
        <x:f>Parametres_Paie!$B$5</x:f>
        <x:v>0.077</x:v>
      </x:c>
      <x:c r="H523" s="64" t="n">
        <x:f>Lot_paie!AH18</x:f>
        <x:v>0</x:v>
      </x:c>
    </x:row>
    <x:row r="524">
      <x:c r="A524" s="25" t="str">
        <x:v>815</x:v>
      </x:c>
      <x:c r="B524" s="25" t="str">
        <x:v>Retenue CMU employé</x:v>
      </x:c>
      <x:c r="C524" s="25" t="str"/>
      <x:c r="D524" s="64" t="n">
        <x:f>Lot_paie!AD18</x:f>
        <x:v>0</x:v>
      </x:c>
      <x:c r="E524" s="64" t="str"/>
      <x:c r="F524" s="64" t="n">
        <x:f>Lot_paie!AD18</x:f>
        <x:v>0</x:v>
      </x:c>
      <x:c r="G524" s="66" t="str"/>
      <x:c r="H524" s="64" t="n">
        <x:f>Lot_paie!AL18</x:f>
        <x:v>0</x:v>
      </x:c>
    </x:row>
    <x:row r="525">
      <x:c r="A525" s="25" t="str">
        <x:v>860</x:v>
      </x:c>
      <x:c r="B525" s="25" t="str">
        <x:v>I.T.S</x:v>
      </x:c>
      <x:c r="C525" s="25" t="str"/>
      <x:c r="D525" s="64" t="n">
        <x:f>Lot_paie!AA18</x:f>
        <x:v>0</x:v>
      </x:c>
      <x:c r="E525" s="64" t="str"/>
      <x:c r="F525" s="64" t="n">
        <x:f>Lot_paie!AF18</x:f>
        <x:v>0</x:v>
      </x:c>
      <x:c r="G525" s="66" t="str"/>
      <x:c r="H525" s="64" t="str"/>
    </x:row>
    <x:row r="526">
      <x:c r="A526" s="25" t="str">
        <x:v>912</x:v>
      </x:c>
      <x:c r="B526" s="25" t="str">
        <x:v>Prestation Familiale</x:v>
      </x:c>
      <x:c r="C526" s="25" t="str"/>
      <x:c r="D526" s="64" t="n">
        <x:f>Parametres_Paie!$B$7</x:f>
        <x:v>75000</x:v>
      </x:c>
      <x:c r="E526" s="64" t="str"/>
      <x:c r="F526" s="64" t="str"/>
      <x:c r="G526" s="66" t="n">
        <x:f>Parametres_Paie!$B$8</x:f>
        <x:v>0.05</x:v>
      </x:c>
      <x:c r="H526" s="64" t="n">
        <x:f>Lot_paie!AI18</x:f>
        <x:v>0</x:v>
      </x:c>
    </x:row>
    <x:row r="527">
      <x:c r="A527" s="25" t="str">
        <x:v>913</x:v>
      </x:c>
      <x:c r="B527" s="25" t="str">
        <x:v>Accident de Travail</x:v>
      </x:c>
      <x:c r="C527" s="25" t="str"/>
      <x:c r="D527" s="64" t="n">
        <x:f>Parametres_Paie!$B$7</x:f>
        <x:v>75000</x:v>
      </x:c>
      <x:c r="E527" s="64" t="str"/>
      <x:c r="F527" s="64" t="str"/>
      <x:c r="G527" s="66" t="n">
        <x:f>Lot_paie!T18</x:f>
        <x:v>0.02</x:v>
      </x:c>
      <x:c r="H527" s="64" t="n">
        <x:f>Lot_paie!AJ18</x:f>
        <x:v>0</x:v>
      </x:c>
    </x:row>
    <x:row r="528">
      <x:c r="A528" s="25" t="str">
        <x:v>914</x:v>
      </x:c>
      <x:c r="B528" s="25" t="str">
        <x:v>Assurance Maternité</x:v>
      </x:c>
      <x:c r="C528" s="25" t="str"/>
      <x:c r="D528" s="64" t="n">
        <x:f>Parametres_Paie!$B$7</x:f>
        <x:v>75000</x:v>
      </x:c>
      <x:c r="E528" s="64" t="str"/>
      <x:c r="F528" s="64" t="str"/>
      <x:c r="G528" s="66" t="n">
        <x:f>Parametres_Paie!$B$9</x:f>
        <x:v>0.0075</x:v>
      </x:c>
      <x:c r="H528" s="64" t="n">
        <x:f>Lot_paie!AK18</x:f>
        <x:v>0</x:v>
      </x:c>
    </x:row>
    <x:row r="529">
      <x:c r="A529" s="25" t="str">
        <x:v>924</x:v>
      </x:c>
      <x:c r="B529" s="25" t="str">
        <x:v>I.S. Employeur Local</x:v>
      </x:c>
      <x:c r="C529" s="25" t="str"/>
      <x:c r="D529" s="64" t="n">
        <x:f>Lot_paie!AA18</x:f>
        <x:v>0</x:v>
      </x:c>
      <x:c r="E529" s="64" t="str"/>
      <x:c r="F529" s="64" t="str"/>
      <x:c r="G529" s="66" t="n">
        <x:f>Parametres_Paie!$B$15</x:f>
        <x:v>0.012</x:v>
      </x:c>
      <x:c r="H529" s="64" t="n">
        <x:f>Lot_paie!AM18</x:f>
        <x:v>0</x:v>
      </x:c>
    </x:row>
    <x:row r="530">
      <x:c r="A530" s="25" t="str">
        <x:v>930</x:v>
      </x:c>
      <x:c r="B530" s="25" t="str">
        <x:v>Taxe d’Apprentissage</x:v>
      </x:c>
      <x:c r="C530" s="25" t="str"/>
      <x:c r="D530" s="64" t="n">
        <x:f>Lot_paie!AA18</x:f>
        <x:v>0</x:v>
      </x:c>
      <x:c r="E530" s="64" t="str"/>
      <x:c r="F530" s="64" t="str"/>
      <x:c r="G530" s="66" t="n">
        <x:f>Parametres_Paie!$B$16</x:f>
        <x:v>0.004</x:v>
      </x:c>
      <x:c r="H530" s="64" t="n">
        <x:f>Lot_paie!AN18</x:f>
        <x:v>0</x:v>
      </x:c>
    </x:row>
    <x:row r="531">
      <x:c r="A531" s="25" t="str">
        <x:v>931</x:v>
      </x:c>
      <x:c r="B531" s="25" t="str">
        <x:v>Taxe Formation Professionnelle Continue</x:v>
      </x:c>
      <x:c r="C531" s="25" t="str"/>
      <x:c r="D531" s="64" t="n">
        <x:f>Lot_paie!AA18</x:f>
        <x:v>0</x:v>
      </x:c>
      <x:c r="E531" s="64" t="str"/>
      <x:c r="F531" s="64" t="str"/>
      <x:c r="G531" s="66" t="n">
        <x:f>Parametres_Paie!$B$17</x:f>
        <x:v>0.006</x:v>
      </x:c>
      <x:c r="H531" s="64" t="n">
        <x:f>Lot_paie!AO18</x:f>
        <x:v>0</x:v>
      </x:c>
    </x:row>
    <x:row r="532">
      <x:c r="A532" s="25" t="str">
        <x:v>932</x:v>
      </x:c>
      <x:c r="B532" s="25" t="str">
        <x:v>Taxe FPC Fin d’année</x:v>
      </x:c>
      <x:c r="C532" s="25" t="str"/>
      <x:c r="D532" s="64" t="n">
        <x:f>Lot_paie!AA18</x:f>
        <x:v>0</x:v>
      </x:c>
      <x:c r="E532" s="64" t="str"/>
      <x:c r="F532" s="64" t="str"/>
      <x:c r="G532" s="66" t="n">
        <x:f>Parametres_Paie!$B$18</x:f>
        <x:v>0.006</x:v>
      </x:c>
      <x:c r="H532" s="64" t="n">
        <x:f>Lot_paie!AP18</x:f>
        <x:v>0</x:v>
      </x:c>
    </x:row>
    <x:row r="533">
      <x:c r="A533" s="25" t="str"/>
      <x:c r="B533" s="83" t="str">
        <x:v>Total retenues fiscales et sociales</x:v>
      </x:c>
      <x:c r="C533" s="83" t="str"/>
      <x:c r="D533" s="84" t="str"/>
      <x:c r="E533" s="84" t="str"/>
      <x:c r="F533" s="84" t="n">
        <x:f>Lot_paie!AG18</x:f>
        <x:v>0</x:v>
      </x:c>
      <x:c r="G533" s="85" t="str"/>
      <x:c r="H533" s="84" t="n">
        <x:f>Lot_paie!AQ18</x:f>
        <x:v>0</x:v>
      </x:c>
    </x:row>
    <x:row r="534">
      <x:c r="A534" s="25" t="str">
        <x:v>204</x:v>
      </x:c>
      <x:c r="B534" s="25" t="str">
        <x:v>Indemnité Transport N. Imposable</x:v>
      </x:c>
      <x:c r="C534" s="25" t="str">
        <x:v>30</x:v>
      </x:c>
      <x:c r="D534" s="64" t="n">
        <x:f>Lot_paie!Y18</x:f>
        <x:v>0</x:v>
      </x:c>
      <x:c r="E534" s="64" t="str"/>
      <x:c r="F534" s="64" t="n">
        <x:f>Lot_paie!Y18</x:f>
        <x:v>0</x:v>
      </x:c>
      <x:c r="G534" s="66" t="str"/>
      <x:c r="H534" s="64" t="str"/>
    </x:row>
    <x:row r="535">
      <x:c r="A535" s="25" t="str"/>
      <x:c r="B535" s="25" t="str">
        <x:v>Total gains non imposables</x:v>
      </x:c>
      <x:c r="C535" s="25" t="str"/>
      <x:c r="D535" s="64" t="str"/>
      <x:c r="E535" s="64" t="str"/>
      <x:c r="F535" s="64" t="n">
        <x:f>Lot_paie!AR18</x:f>
        <x:v>0</x:v>
      </x:c>
      <x:c r="G535" s="66" t="str"/>
      <x:c r="H535" s="64" t="str"/>
    </x:row>
    <x:row r="536">
      <x:c r="A536" s="25" t="str"/>
      <x:c r="B536" s="110" t="str">
        <x:v>NET À PAYER</x:v>
      </x:c>
      <x:c r="C536" s="110" t="str"/>
      <x:c r="D536" s="111" t="str"/>
      <x:c r="E536" s="111" t="str"/>
      <x:c r="F536" s="111" t="str"/>
      <x:c r="G536" s="112" t="str"/>
      <x:c r="H536" s="111" t="n">
        <x:f>Lot_paie!AT18</x:f>
        <x:v>0</x:v>
      </x:c>
    </x:row>
    <x:row r="537">
      <x:c r="A537" s="25"/>
      <x:c r="B537" s="25"/>
      <x:c r="C537" s="25"/>
      <x:c r="D537" s="25"/>
      <x:c r="E537" s="25"/>
      <x:c r="F537" s="25"/>
      <x:c r="G537" s="25"/>
      <x:c r="H537" s="25"/>
    </x:row>
    <x:row r="538">
      <x:c r="A538" s="25"/>
      <x:c r="B538" s="25"/>
      <x:c r="C538" s="25"/>
      <x:c r="D538" s="25"/>
      <x:c r="E538" s="25"/>
      <x:c r="F538" s="25"/>
      <x:c r="G538" s="25"/>
      <x:c r="H538" s="25"/>
    </x:row>
    <x:row r="539">
      <x:c r="A539" s="25"/>
      <x:c r="B539" s="25"/>
      <x:c r="C539" s="25"/>
      <x:c r="D539" s="25"/>
      <x:c r="E539" s="25"/>
      <x:c r="F539" s="25"/>
      <x:c r="G539" s="25"/>
      <x:c r="H539" s="25"/>
    </x:row>
    <x:row r="540">
      <x:c r="A540" s="25"/>
      <x:c r="B540" s="25"/>
      <x:c r="C540" s="25"/>
      <x:c r="D540" s="25"/>
      <x:c r="E540" s="25"/>
      <x:c r="F540" s="25"/>
      <x:c r="G540" s="25"/>
      <x:c r="H540" s="25"/>
    </x:row>
    <x:row r="541">
      <x:c r="A541" s="25"/>
      <x:c r="B541" s="25"/>
      <x:c r="C541" s="25"/>
      <x:c r="D541" s="25"/>
      <x:c r="E541" s="25"/>
      <x:c r="F541" s="25"/>
      <x:c r="G541" s="25"/>
      <x:c r="H541" s="25"/>
    </x:row>
    <x:row r="542">
      <x:c r="A542" s="25"/>
      <x:c r="B542" s="25"/>
      <x:c r="C542" s="25"/>
      <x:c r="D542" s="25"/>
      <x:c r="E542" s="25"/>
      <x:c r="F542" s="25"/>
      <x:c r="G542" s="25"/>
      <x:c r="H542" s="25"/>
    </x:row>
    <x:row r="543">
      <x:c r="A543" s="25"/>
      <x:c r="B543" s="25"/>
      <x:c r="C543" s="25"/>
      <x:c r="D543" s="25"/>
      <x:c r="E543" s="25"/>
      <x:c r="F543" s="25"/>
      <x:c r="G543" s="25"/>
      <x:c r="H543" s="25"/>
    </x:row>
    <x:row r="545">
      <x:c r="A545" s="108" t="str">
        <x:v>BULLETIN DE PAIE – AAEA / AfWASA</x:v>
      </x:c>
      <x:c r="B545" s="108"/>
      <x:c r="C545" s="108"/>
      <x:c r="D545" s="108"/>
      <x:c r="E545" s="108"/>
      <x:c r="F545" s="108"/>
      <x:c r="G545" s="108"/>
      <x:c r="H545" s="108"/>
    </x:row>
    <x:row r="546">
      <x:c r="A546" s="25" t="str">
        <x:v>Matricule</x:v>
      </x:c>
      <x:c r="B546" s="25" t="str">
        <x:f>Lot_paie!A19</x:f>
        <x:v>0073D</x:v>
      </x:c>
      <x:c r="C546" s="25" t="str">
        <x:v>Période</x:v>
      </x:c>
      <x:c r="D546" s="25" t="str">
        <x:f>Parametres_Paie!$B$26</x:f>
        <x:v>Janvier 2025</x:v>
      </x:c>
      <x:c r="E546" s="25" t="str">
        <x:v>Paiement</x:v>
      </x:c>
      <x:c r="F546" s="25" t="n">
        <x:f>Parametres_Paie!$B$25</x:f>
        <x:v>45688</x:v>
      </x:c>
      <x:c r="G546" s="25" t="str"/>
      <x:c r="H546" s="25" t="str"/>
    </x:row>
    <x:row r="547">
      <x:c r="A547" s="25" t="str">
        <x:v>Nom et prénom</x:v>
      </x:c>
      <x:c r="B547" s="25" t="str">
        <x:f>Lot_paie!B19&amp;" "&amp;Lot_paie!C19</x:f>
        <x:v>COULIBALY BA Mariame</x:v>
      </x:c>
      <x:c r="C547" s="25" t="str">
        <x:v>Poste</x:v>
      </x:c>
      <x:c r="D547" s="25" t="str">
        <x:f>Lot_paie!F19</x:f>
        <x:v>Assistante du Directeur Executif</x:v>
      </x:c>
      <x:c r="E547" s="25" t="str">
        <x:v>CNPS</x:v>
      </x:c>
      <x:c r="F547" s="25" t="n">
        <x:f>Lot_paie!J19</x:f>
        <x:v>277010418099</x:v>
      </x:c>
      <x:c r="G547" s="25" t="str"/>
      <x:c r="H547" s="25" t="str"/>
    </x:row>
    <x:row r="548">
      <x:c r="A548" s="25" t="str">
        <x:v>Direction</x:v>
      </x:c>
      <x:c r="B548" s="25" t="str">
        <x:f>Lot_paie!D19</x:f>
        <x:v>Cabinet de la Direction Exécutive</x:v>
      </x:c>
      <x:c r="C548" s="25" t="str">
        <x:v>Date entrée</x:v>
      </x:c>
      <x:c r="D548" s="25" t="n">
        <x:f>Lot_paie!I19</x:f>
        <x:v>44536</x:v>
      </x:c>
      <x:c r="E548" s="25" t="str">
        <x:v>Ancienneté</x:v>
      </x:c>
      <x:c r="F548" s="25" t="str">
        <x:f>Lot_paie!V19</x:f>
        <x:v>3 ans (calcul période)</x:v>
      </x:c>
      <x:c r="G548" s="25" t="str"/>
      <x:c r="H548" s="25" t="str"/>
    </x:row>
    <x:row r="549">
      <x:c r="A549" s="25"/>
      <x:c r="B549" s="25"/>
      <x:c r="C549" s="25"/>
      <x:c r="D549" s="25"/>
      <x:c r="E549" s="25"/>
      <x:c r="F549" s="25"/>
      <x:c r="G549" s="25"/>
      <x:c r="H549" s="25"/>
    </x:row>
    <x:row r="550">
      <x:c r="A550" s="14" t="str">
        <x:v>N°</x:v>
      </x:c>
      <x:c r="B550" s="14" t="str">
        <x:v>Désignation</x:v>
      </x:c>
      <x:c r="C550" s="14" t="str">
        <x:v>Nombre</x:v>
      </x:c>
      <x:c r="D550" s="14" t="str">
        <x:v>Base</x:v>
      </x:c>
      <x:c r="E550" s="14" t="str">
        <x:v>Taux Sal.</x:v>
      </x:c>
      <x:c r="F550" s="14" t="str">
        <x:v>Ret. Sal.</x:v>
      </x:c>
      <x:c r="G550" s="14" t="str">
        <x:v>Taux Pat.</x:v>
      </x:c>
      <x:c r="H550" s="14" t="str">
        <x:v>Ret. Pat.</x:v>
      </x:c>
    </x:row>
    <x:row r="551">
      <x:c r="A551" s="25" t="str">
        <x:v>100</x:v>
      </x:c>
      <x:c r="B551" s="25" t="str">
        <x:v>Salaire de base</x:v>
      </x:c>
      <x:c r="C551" s="25" t="str">
        <x:v>30</x:v>
      </x:c>
      <x:c r="D551" s="64" t="n">
        <x:f>Lot_paie!K19</x:f>
        <x:v>0</x:v>
      </x:c>
      <x:c r="E551" s="64" t="str"/>
      <x:c r="F551" s="64" t="str"/>
      <x:c r="G551" s="64" t="str"/>
      <x:c r="H551" s="64" t="str"/>
    </x:row>
    <x:row r="552">
      <x:c r="A552" s="25" t="str">
        <x:v>110</x:v>
      </x:c>
      <x:c r="B552" s="25" t="str">
        <x:v>Sursalaire</x:v>
      </x:c>
      <x:c r="C552" s="25" t="str">
        <x:v>30</x:v>
      </x:c>
      <x:c r="D552" s="64" t="n">
        <x:f>Lot_paie!L19</x:f>
        <x:v>0</x:v>
      </x:c>
      <x:c r="E552" s="64" t="str"/>
      <x:c r="F552" s="64" t="str"/>
      <x:c r="G552" s="64" t="str"/>
      <x:c r="H552" s="64" t="str"/>
    </x:row>
    <x:row r="553">
      <x:c r="A553" s="25" t="str">
        <x:v>120</x:v>
      </x:c>
      <x:c r="B553" s="25" t="str">
        <x:v>Prime ancienneté</x:v>
      </x:c>
      <x:c r="C553" s="25" t="n">
        <x:f>Lot_paie!U19</x:f>
        <x:v>3</x:v>
      </x:c>
      <x:c r="D553" s="64" t="n">
        <x:f>Lot_paie!X19</x:f>
        <x:v>0</x:v>
      </x:c>
      <x:c r="E553" s="64" t="str"/>
      <x:c r="F553" s="64" t="str"/>
      <x:c r="G553" s="64" t="str"/>
      <x:c r="H553" s="64" t="str"/>
    </x:row>
    <x:row r="554">
      <x:c r="A554" s="25" t="str"/>
      <x:c r="B554" s="24" t="str">
        <x:v>Total brut imposable</x:v>
      </x:c>
      <x:c r="C554" s="24" t="str"/>
      <x:c r="D554" s="76" t="str"/>
      <x:c r="E554" s="76" t="str"/>
      <x:c r="F554" s="76" t="n">
        <x:f>Lot_paie!AA19</x:f>
        <x:v>0</x:v>
      </x:c>
      <x:c r="G554" s="76" t="str"/>
      <x:c r="H554" s="76" t="str"/>
    </x:row>
    <x:row r="555">
      <x:c r="A555" s="25" t="str">
        <x:v>810</x:v>
      </x:c>
      <x:c r="B555" s="25" t="str">
        <x:v>C.N.P.S.</x:v>
      </x:c>
      <x:c r="C555" s="25" t="str"/>
      <x:c r="D555" s="64" t="n">
        <x:f>Lot_paie!AB19</x:f>
        <x:v>0</x:v>
      </x:c>
      <x:c r="E555" s="66" t="n">
        <x:f>Parametres_Paie!$B$4</x:f>
        <x:v>0.063</x:v>
      </x:c>
      <x:c r="F555" s="64" t="n">
        <x:f>Lot_paie!AC19</x:f>
        <x:v>0</x:v>
      </x:c>
      <x:c r="G555" s="66" t="n">
        <x:f>Parametres_Paie!$B$5</x:f>
        <x:v>0.077</x:v>
      </x:c>
      <x:c r="H555" s="64" t="n">
        <x:f>Lot_paie!AH19</x:f>
        <x:v>0</x:v>
      </x:c>
    </x:row>
    <x:row r="556">
      <x:c r="A556" s="25" t="str">
        <x:v>815</x:v>
      </x:c>
      <x:c r="B556" s="25" t="str">
        <x:v>Retenue CMU employé</x:v>
      </x:c>
      <x:c r="C556" s="25" t="str"/>
      <x:c r="D556" s="64" t="n">
        <x:f>Lot_paie!AD19</x:f>
        <x:v>0</x:v>
      </x:c>
      <x:c r="E556" s="64" t="str"/>
      <x:c r="F556" s="64" t="n">
        <x:f>Lot_paie!AD19</x:f>
        <x:v>0</x:v>
      </x:c>
      <x:c r="G556" s="66" t="str"/>
      <x:c r="H556" s="64" t="n">
        <x:f>Lot_paie!AL19</x:f>
        <x:v>0</x:v>
      </x:c>
    </x:row>
    <x:row r="557">
      <x:c r="A557" s="25" t="str">
        <x:v>860</x:v>
      </x:c>
      <x:c r="B557" s="25" t="str">
        <x:v>I.T.S</x:v>
      </x:c>
      <x:c r="C557" s="25" t="str"/>
      <x:c r="D557" s="64" t="n">
        <x:f>Lot_paie!AA19</x:f>
        <x:v>0</x:v>
      </x:c>
      <x:c r="E557" s="64" t="str"/>
      <x:c r="F557" s="64" t="n">
        <x:f>Lot_paie!AF19</x:f>
        <x:v>0</x:v>
      </x:c>
      <x:c r="G557" s="66" t="str"/>
      <x:c r="H557" s="64" t="str"/>
    </x:row>
    <x:row r="558">
      <x:c r="A558" s="25" t="str">
        <x:v>912</x:v>
      </x:c>
      <x:c r="B558" s="25" t="str">
        <x:v>Prestation Familiale</x:v>
      </x:c>
      <x:c r="C558" s="25" t="str"/>
      <x:c r="D558" s="64" t="n">
        <x:f>Parametres_Paie!$B$7</x:f>
        <x:v>75000</x:v>
      </x:c>
      <x:c r="E558" s="64" t="str"/>
      <x:c r="F558" s="64" t="str"/>
      <x:c r="G558" s="66" t="n">
        <x:f>Parametres_Paie!$B$8</x:f>
        <x:v>0.05</x:v>
      </x:c>
      <x:c r="H558" s="64" t="n">
        <x:f>Lot_paie!AI19</x:f>
        <x:v>0</x:v>
      </x:c>
    </x:row>
    <x:row r="559">
      <x:c r="A559" s="25" t="str">
        <x:v>913</x:v>
      </x:c>
      <x:c r="B559" s="25" t="str">
        <x:v>Accident de Travail</x:v>
      </x:c>
      <x:c r="C559" s="25" t="str"/>
      <x:c r="D559" s="64" t="n">
        <x:f>Parametres_Paie!$B$7</x:f>
        <x:v>75000</x:v>
      </x:c>
      <x:c r="E559" s="64" t="str"/>
      <x:c r="F559" s="64" t="str"/>
      <x:c r="G559" s="66" t="n">
        <x:f>Lot_paie!T19</x:f>
        <x:v>0.02</x:v>
      </x:c>
      <x:c r="H559" s="64" t="n">
        <x:f>Lot_paie!AJ19</x:f>
        <x:v>0</x:v>
      </x:c>
    </x:row>
    <x:row r="560">
      <x:c r="A560" s="25" t="str">
        <x:v>914</x:v>
      </x:c>
      <x:c r="B560" s="25" t="str">
        <x:v>Assurance Maternité</x:v>
      </x:c>
      <x:c r="C560" s="25" t="str"/>
      <x:c r="D560" s="64" t="n">
        <x:f>Parametres_Paie!$B$7</x:f>
        <x:v>75000</x:v>
      </x:c>
      <x:c r="E560" s="64" t="str"/>
      <x:c r="F560" s="64" t="str"/>
      <x:c r="G560" s="66" t="n">
        <x:f>Parametres_Paie!$B$9</x:f>
        <x:v>0.0075</x:v>
      </x:c>
      <x:c r="H560" s="64" t="n">
        <x:f>Lot_paie!AK19</x:f>
        <x:v>0</x:v>
      </x:c>
    </x:row>
    <x:row r="561">
      <x:c r="A561" s="25" t="str">
        <x:v>924</x:v>
      </x:c>
      <x:c r="B561" s="25" t="str">
        <x:v>I.S. Employeur Local</x:v>
      </x:c>
      <x:c r="C561" s="25" t="str"/>
      <x:c r="D561" s="64" t="n">
        <x:f>Lot_paie!AA19</x:f>
        <x:v>0</x:v>
      </x:c>
      <x:c r="E561" s="64" t="str"/>
      <x:c r="F561" s="64" t="str"/>
      <x:c r="G561" s="66" t="n">
        <x:f>Parametres_Paie!$B$15</x:f>
        <x:v>0.012</x:v>
      </x:c>
      <x:c r="H561" s="64" t="n">
        <x:f>Lot_paie!AM19</x:f>
        <x:v>0</x:v>
      </x:c>
    </x:row>
    <x:row r="562">
      <x:c r="A562" s="25" t="str">
        <x:v>930</x:v>
      </x:c>
      <x:c r="B562" s="25" t="str">
        <x:v>Taxe d’Apprentissage</x:v>
      </x:c>
      <x:c r="C562" s="25" t="str"/>
      <x:c r="D562" s="64" t="n">
        <x:f>Lot_paie!AA19</x:f>
        <x:v>0</x:v>
      </x:c>
      <x:c r="E562" s="64" t="str"/>
      <x:c r="F562" s="64" t="str"/>
      <x:c r="G562" s="66" t="n">
        <x:f>Parametres_Paie!$B$16</x:f>
        <x:v>0.004</x:v>
      </x:c>
      <x:c r="H562" s="64" t="n">
        <x:f>Lot_paie!AN19</x:f>
        <x:v>0</x:v>
      </x:c>
    </x:row>
    <x:row r="563">
      <x:c r="A563" s="25" t="str">
        <x:v>931</x:v>
      </x:c>
      <x:c r="B563" s="25" t="str">
        <x:v>Taxe Formation Professionnelle Continue</x:v>
      </x:c>
      <x:c r="C563" s="25" t="str"/>
      <x:c r="D563" s="64" t="n">
        <x:f>Lot_paie!AA19</x:f>
        <x:v>0</x:v>
      </x:c>
      <x:c r="E563" s="64" t="str"/>
      <x:c r="F563" s="64" t="str"/>
      <x:c r="G563" s="66" t="n">
        <x:f>Parametres_Paie!$B$17</x:f>
        <x:v>0.006</x:v>
      </x:c>
      <x:c r="H563" s="64" t="n">
        <x:f>Lot_paie!AO19</x:f>
        <x:v>0</x:v>
      </x:c>
    </x:row>
    <x:row r="564">
      <x:c r="A564" s="25" t="str">
        <x:v>932</x:v>
      </x:c>
      <x:c r="B564" s="25" t="str">
        <x:v>Taxe FPC Fin d’année</x:v>
      </x:c>
      <x:c r="C564" s="25" t="str"/>
      <x:c r="D564" s="64" t="n">
        <x:f>Lot_paie!AA19</x:f>
        <x:v>0</x:v>
      </x:c>
      <x:c r="E564" s="64" t="str"/>
      <x:c r="F564" s="64" t="str"/>
      <x:c r="G564" s="66" t="n">
        <x:f>Parametres_Paie!$B$18</x:f>
        <x:v>0.006</x:v>
      </x:c>
      <x:c r="H564" s="64" t="n">
        <x:f>Lot_paie!AP19</x:f>
        <x:v>0</x:v>
      </x:c>
    </x:row>
    <x:row r="565">
      <x:c r="A565" s="25" t="str"/>
      <x:c r="B565" s="83" t="str">
        <x:v>Total retenues fiscales et sociales</x:v>
      </x:c>
      <x:c r="C565" s="83" t="str"/>
      <x:c r="D565" s="84" t="str"/>
      <x:c r="E565" s="84" t="str"/>
      <x:c r="F565" s="84" t="n">
        <x:f>Lot_paie!AG19</x:f>
        <x:v>0</x:v>
      </x:c>
      <x:c r="G565" s="85" t="str"/>
      <x:c r="H565" s="84" t="n">
        <x:f>Lot_paie!AQ19</x:f>
        <x:v>0</x:v>
      </x:c>
    </x:row>
    <x:row r="566">
      <x:c r="A566" s="25" t="str">
        <x:v>204</x:v>
      </x:c>
      <x:c r="B566" s="25" t="str">
        <x:v>Indemnité Transport N. Imposable</x:v>
      </x:c>
      <x:c r="C566" s="25" t="str">
        <x:v>30</x:v>
      </x:c>
      <x:c r="D566" s="64" t="n">
        <x:f>Lot_paie!Y19</x:f>
        <x:v>0</x:v>
      </x:c>
      <x:c r="E566" s="64" t="str"/>
      <x:c r="F566" s="64" t="n">
        <x:f>Lot_paie!Y19</x:f>
        <x:v>0</x:v>
      </x:c>
      <x:c r="G566" s="66" t="str"/>
      <x:c r="H566" s="64" t="str"/>
    </x:row>
    <x:row r="567">
      <x:c r="A567" s="25" t="str"/>
      <x:c r="B567" s="25" t="str">
        <x:v>Total gains non imposables</x:v>
      </x:c>
      <x:c r="C567" s="25" t="str"/>
      <x:c r="D567" s="64" t="str"/>
      <x:c r="E567" s="64" t="str"/>
      <x:c r="F567" s="64" t="n">
        <x:f>Lot_paie!AR19</x:f>
        <x:v>0</x:v>
      </x:c>
      <x:c r="G567" s="66" t="str"/>
      <x:c r="H567" s="64" t="str"/>
    </x:row>
    <x:row r="568">
      <x:c r="A568" s="25" t="str"/>
      <x:c r="B568" s="110" t="str">
        <x:v>NET À PAYER</x:v>
      </x:c>
      <x:c r="C568" s="110" t="str"/>
      <x:c r="D568" s="111" t="str"/>
      <x:c r="E568" s="111" t="str"/>
      <x:c r="F568" s="111" t="str"/>
      <x:c r="G568" s="112" t="str"/>
      <x:c r="H568" s="111" t="n">
        <x:f>Lot_paie!AT19</x:f>
        <x:v>0</x:v>
      </x:c>
    </x:row>
    <x:row r="569">
      <x:c r="A569" s="25"/>
      <x:c r="B569" s="25"/>
      <x:c r="C569" s="25"/>
      <x:c r="D569" s="25"/>
      <x:c r="E569" s="25"/>
      <x:c r="F569" s="25"/>
      <x:c r="G569" s="25"/>
      <x:c r="H569" s="25"/>
    </x:row>
    <x:row r="570">
      <x:c r="A570" s="25"/>
      <x:c r="B570" s="25"/>
      <x:c r="C570" s="25"/>
      <x:c r="D570" s="25"/>
      <x:c r="E570" s="25"/>
      <x:c r="F570" s="25"/>
      <x:c r="G570" s="25"/>
      <x:c r="H570" s="25"/>
    </x:row>
    <x:row r="571">
      <x:c r="A571" s="25"/>
      <x:c r="B571" s="25"/>
      <x:c r="C571" s="25"/>
      <x:c r="D571" s="25"/>
      <x:c r="E571" s="25"/>
      <x:c r="F571" s="25"/>
      <x:c r="G571" s="25"/>
      <x:c r="H571" s="25"/>
    </x:row>
    <x:row r="572">
      <x:c r="A572" s="25"/>
      <x:c r="B572" s="25"/>
      <x:c r="C572" s="25"/>
      <x:c r="D572" s="25"/>
      <x:c r="E572" s="25"/>
      <x:c r="F572" s="25"/>
      <x:c r="G572" s="25"/>
      <x:c r="H572" s="25"/>
    </x:row>
    <x:row r="573">
      <x:c r="A573" s="25"/>
      <x:c r="B573" s="25"/>
      <x:c r="C573" s="25"/>
      <x:c r="D573" s="25"/>
      <x:c r="E573" s="25"/>
      <x:c r="F573" s="25"/>
      <x:c r="G573" s="25"/>
      <x:c r="H573" s="25"/>
    </x:row>
    <x:row r="574">
      <x:c r="A574" s="25"/>
      <x:c r="B574" s="25"/>
      <x:c r="C574" s="25"/>
      <x:c r="D574" s="25"/>
      <x:c r="E574" s="25"/>
      <x:c r="F574" s="25"/>
      <x:c r="G574" s="25"/>
      <x:c r="H574" s="25"/>
    </x:row>
    <x:row r="575">
      <x:c r="A575" s="25"/>
      <x:c r="B575" s="25"/>
      <x:c r="C575" s="25"/>
      <x:c r="D575" s="25"/>
      <x:c r="E575" s="25"/>
      <x:c r="F575" s="25"/>
      <x:c r="G575" s="25"/>
      <x:c r="H575" s="25"/>
    </x:row>
    <x:row r="577">
      <x:c r="A577" s="108" t="str">
        <x:v>BULLETIN DE PAIE – AAEA / AfWASA</x:v>
      </x:c>
      <x:c r="B577" s="108"/>
      <x:c r="C577" s="108"/>
      <x:c r="D577" s="108"/>
      <x:c r="E577" s="108"/>
      <x:c r="F577" s="108"/>
      <x:c r="G577" s="108"/>
      <x:c r="H577" s="108"/>
    </x:row>
    <x:row r="578">
      <x:c r="A578" s="25" t="str">
        <x:v>Matricule</x:v>
      </x:c>
      <x:c r="B578" s="25" t="str">
        <x:f>Lot_paie!A20</x:f>
        <x:v>0074J</x:v>
      </x:c>
      <x:c r="C578" s="25" t="str">
        <x:v>Période</x:v>
      </x:c>
      <x:c r="D578" s="25" t="str">
        <x:f>Parametres_Paie!$B$26</x:f>
        <x:v>Janvier 2025</x:v>
      </x:c>
      <x:c r="E578" s="25" t="str">
        <x:v>Paiement</x:v>
      </x:c>
      <x:c r="F578" s="25" t="n">
        <x:f>Parametres_Paie!$B$25</x:f>
        <x:v>45688</x:v>
      </x:c>
      <x:c r="G578" s="25" t="str"/>
      <x:c r="H578" s="25" t="str"/>
    </x:row>
    <x:row r="579">
      <x:c r="A579" s="25" t="str">
        <x:v>Nom et prénom</x:v>
      </x:c>
      <x:c r="B579" s="25" t="str">
        <x:f>Lot_paie!B20&amp;" "&amp;Lot_paie!C20</x:f>
        <x:v>DIEZAHI Dominique</x:v>
      </x:c>
      <x:c r="C579" s="25" t="str">
        <x:v>Poste</x:v>
      </x:c>
      <x:c r="D579" s="25" t="str">
        <x:f>Lot_paie!F20</x:f>
        <x:v>Chauffeur Coursier</x:v>
      </x:c>
      <x:c r="E579" s="25" t="str">
        <x:v>CNPS</x:v>
      </x:c>
      <x:c r="F579" s="25" t="n">
        <x:f>Lot_paie!J20</x:f>
        <x:v>172010138894</x:v>
      </x:c>
      <x:c r="G579" s="25" t="str"/>
      <x:c r="H579" s="25" t="str"/>
    </x:row>
    <x:row r="580">
      <x:c r="A580" s="25" t="str">
        <x:v>Direction</x:v>
      </x:c>
      <x:c r="B580" s="25" t="str">
        <x:f>Lot_paie!D20</x:f>
        <x:v>Direction Administrative et Financière</x:v>
      </x:c>
      <x:c r="C580" s="25" t="str">
        <x:v>Date entrée</x:v>
      </x:c>
      <x:c r="D580" s="25" t="n">
        <x:f>Lot_paie!I20</x:f>
        <x:v>44562</x:v>
      </x:c>
      <x:c r="E580" s="25" t="str">
        <x:v>Ancienneté</x:v>
      </x:c>
      <x:c r="F580" s="25" t="str">
        <x:f>Lot_paie!V20</x:f>
        <x:v>3 ans (calcul période)</x:v>
      </x:c>
      <x:c r="G580" s="25" t="str"/>
      <x:c r="H580" s="25" t="str"/>
    </x:row>
    <x:row r="581">
      <x:c r="A581" s="25"/>
      <x:c r="B581" s="25"/>
      <x:c r="C581" s="25"/>
      <x:c r="D581" s="25"/>
      <x:c r="E581" s="25"/>
      <x:c r="F581" s="25"/>
      <x:c r="G581" s="25"/>
      <x:c r="H581" s="25"/>
    </x:row>
    <x:row r="582">
      <x:c r="A582" s="14" t="str">
        <x:v>N°</x:v>
      </x:c>
      <x:c r="B582" s="14" t="str">
        <x:v>Désignation</x:v>
      </x:c>
      <x:c r="C582" s="14" t="str">
        <x:v>Nombre</x:v>
      </x:c>
      <x:c r="D582" s="14" t="str">
        <x:v>Base</x:v>
      </x:c>
      <x:c r="E582" s="14" t="str">
        <x:v>Taux Sal.</x:v>
      </x:c>
      <x:c r="F582" s="14" t="str">
        <x:v>Ret. Sal.</x:v>
      </x:c>
      <x:c r="G582" s="14" t="str">
        <x:v>Taux Pat.</x:v>
      </x:c>
      <x:c r="H582" s="14" t="str">
        <x:v>Ret. Pat.</x:v>
      </x:c>
    </x:row>
    <x:row r="583">
      <x:c r="A583" s="25" t="str">
        <x:v>100</x:v>
      </x:c>
      <x:c r="B583" s="25" t="str">
        <x:v>Salaire de base</x:v>
      </x:c>
      <x:c r="C583" s="25" t="str">
        <x:v>30</x:v>
      </x:c>
      <x:c r="D583" s="64" t="n">
        <x:f>Lot_paie!K20</x:f>
        <x:v>0</x:v>
      </x:c>
      <x:c r="E583" s="64" t="str"/>
      <x:c r="F583" s="64" t="str"/>
      <x:c r="G583" s="64" t="str"/>
      <x:c r="H583" s="64" t="str"/>
    </x:row>
    <x:row r="584">
      <x:c r="A584" s="25" t="str">
        <x:v>110</x:v>
      </x:c>
      <x:c r="B584" s="25" t="str">
        <x:v>Sursalaire</x:v>
      </x:c>
      <x:c r="C584" s="25" t="str">
        <x:v>30</x:v>
      </x:c>
      <x:c r="D584" s="64" t="n">
        <x:f>Lot_paie!L20</x:f>
        <x:v>0</x:v>
      </x:c>
      <x:c r="E584" s="64" t="str"/>
      <x:c r="F584" s="64" t="str"/>
      <x:c r="G584" s="64" t="str"/>
      <x:c r="H584" s="64" t="str"/>
    </x:row>
    <x:row r="585">
      <x:c r="A585" s="25" t="str">
        <x:v>120</x:v>
      </x:c>
      <x:c r="B585" s="25" t="str">
        <x:v>Prime ancienneté</x:v>
      </x:c>
      <x:c r="C585" s="25" t="n">
        <x:f>Lot_paie!U20</x:f>
        <x:v>3</x:v>
      </x:c>
      <x:c r="D585" s="64" t="n">
        <x:f>Lot_paie!X20</x:f>
        <x:v>0</x:v>
      </x:c>
      <x:c r="E585" s="64" t="str"/>
      <x:c r="F585" s="64" t="str"/>
      <x:c r="G585" s="64" t="str"/>
      <x:c r="H585" s="64" t="str"/>
    </x:row>
    <x:row r="586">
      <x:c r="A586" s="25" t="str"/>
      <x:c r="B586" s="24" t="str">
        <x:v>Total brut imposable</x:v>
      </x:c>
      <x:c r="C586" s="24" t="str"/>
      <x:c r="D586" s="76" t="str"/>
      <x:c r="E586" s="76" t="str"/>
      <x:c r="F586" s="76" t="n">
        <x:f>Lot_paie!AA20</x:f>
        <x:v>0</x:v>
      </x:c>
      <x:c r="G586" s="76" t="str"/>
      <x:c r="H586" s="76" t="str"/>
    </x:row>
    <x:row r="587">
      <x:c r="A587" s="25" t="str">
        <x:v>810</x:v>
      </x:c>
      <x:c r="B587" s="25" t="str">
        <x:v>C.N.P.S.</x:v>
      </x:c>
      <x:c r="C587" s="25" t="str"/>
      <x:c r="D587" s="64" t="n">
        <x:f>Lot_paie!AB20</x:f>
        <x:v>0</x:v>
      </x:c>
      <x:c r="E587" s="66" t="n">
        <x:f>Parametres_Paie!$B$4</x:f>
        <x:v>0.063</x:v>
      </x:c>
      <x:c r="F587" s="64" t="n">
        <x:f>Lot_paie!AC20</x:f>
        <x:v>0</x:v>
      </x:c>
      <x:c r="G587" s="66" t="n">
        <x:f>Parametres_Paie!$B$5</x:f>
        <x:v>0.077</x:v>
      </x:c>
      <x:c r="H587" s="64" t="n">
        <x:f>Lot_paie!AH20</x:f>
        <x:v>0</x:v>
      </x:c>
    </x:row>
    <x:row r="588">
      <x:c r="A588" s="25" t="str">
        <x:v>815</x:v>
      </x:c>
      <x:c r="B588" s="25" t="str">
        <x:v>Retenue CMU employé</x:v>
      </x:c>
      <x:c r="C588" s="25" t="str"/>
      <x:c r="D588" s="64" t="n">
        <x:f>Lot_paie!AD20</x:f>
        <x:v>0</x:v>
      </x:c>
      <x:c r="E588" s="64" t="str"/>
      <x:c r="F588" s="64" t="n">
        <x:f>Lot_paie!AD20</x:f>
        <x:v>0</x:v>
      </x:c>
      <x:c r="G588" s="66" t="str"/>
      <x:c r="H588" s="64" t="n">
        <x:f>Lot_paie!AL20</x:f>
        <x:v>0</x:v>
      </x:c>
    </x:row>
    <x:row r="589">
      <x:c r="A589" s="25" t="str">
        <x:v>860</x:v>
      </x:c>
      <x:c r="B589" s="25" t="str">
        <x:v>I.T.S</x:v>
      </x:c>
      <x:c r="C589" s="25" t="str"/>
      <x:c r="D589" s="64" t="n">
        <x:f>Lot_paie!AA20</x:f>
        <x:v>0</x:v>
      </x:c>
      <x:c r="E589" s="64" t="str"/>
      <x:c r="F589" s="64" t="n">
        <x:f>Lot_paie!AF20</x:f>
        <x:v>0</x:v>
      </x:c>
      <x:c r="G589" s="66" t="str"/>
      <x:c r="H589" s="64" t="str"/>
    </x:row>
    <x:row r="590">
      <x:c r="A590" s="25" t="str">
        <x:v>912</x:v>
      </x:c>
      <x:c r="B590" s="25" t="str">
        <x:v>Prestation Familiale</x:v>
      </x:c>
      <x:c r="C590" s="25" t="str"/>
      <x:c r="D590" s="64" t="n">
        <x:f>Parametres_Paie!$B$7</x:f>
        <x:v>75000</x:v>
      </x:c>
      <x:c r="E590" s="64" t="str"/>
      <x:c r="F590" s="64" t="str"/>
      <x:c r="G590" s="66" t="n">
        <x:f>Parametres_Paie!$B$8</x:f>
        <x:v>0.05</x:v>
      </x:c>
      <x:c r="H590" s="64" t="n">
        <x:f>Lot_paie!AI20</x:f>
        <x:v>0</x:v>
      </x:c>
    </x:row>
    <x:row r="591">
      <x:c r="A591" s="25" t="str">
        <x:v>913</x:v>
      </x:c>
      <x:c r="B591" s="25" t="str">
        <x:v>Accident de Travail</x:v>
      </x:c>
      <x:c r="C591" s="25" t="str"/>
      <x:c r="D591" s="64" t="n">
        <x:f>Parametres_Paie!$B$7</x:f>
        <x:v>75000</x:v>
      </x:c>
      <x:c r="E591" s="64" t="str"/>
      <x:c r="F591" s="64" t="str"/>
      <x:c r="G591" s="66" t="n">
        <x:f>Lot_paie!T20</x:f>
        <x:v>0.02</x:v>
      </x:c>
      <x:c r="H591" s="64" t="n">
        <x:f>Lot_paie!AJ20</x:f>
        <x:v>0</x:v>
      </x:c>
    </x:row>
    <x:row r="592">
      <x:c r="A592" s="25" t="str">
        <x:v>914</x:v>
      </x:c>
      <x:c r="B592" s="25" t="str">
        <x:v>Assurance Maternité</x:v>
      </x:c>
      <x:c r="C592" s="25" t="str"/>
      <x:c r="D592" s="64" t="n">
        <x:f>Parametres_Paie!$B$7</x:f>
        <x:v>75000</x:v>
      </x:c>
      <x:c r="E592" s="64" t="str"/>
      <x:c r="F592" s="64" t="str"/>
      <x:c r="G592" s="66" t="n">
        <x:f>Parametres_Paie!$B$9</x:f>
        <x:v>0.0075</x:v>
      </x:c>
      <x:c r="H592" s="64" t="n">
        <x:f>Lot_paie!AK20</x:f>
        <x:v>0</x:v>
      </x:c>
    </x:row>
    <x:row r="593">
      <x:c r="A593" s="25" t="str">
        <x:v>924</x:v>
      </x:c>
      <x:c r="B593" s="25" t="str">
        <x:v>I.S. Employeur Local</x:v>
      </x:c>
      <x:c r="C593" s="25" t="str"/>
      <x:c r="D593" s="64" t="n">
        <x:f>Lot_paie!AA20</x:f>
        <x:v>0</x:v>
      </x:c>
      <x:c r="E593" s="64" t="str"/>
      <x:c r="F593" s="64" t="str"/>
      <x:c r="G593" s="66" t="n">
        <x:f>Parametres_Paie!$B$15</x:f>
        <x:v>0.012</x:v>
      </x:c>
      <x:c r="H593" s="64" t="n">
        <x:f>Lot_paie!AM20</x:f>
        <x:v>0</x:v>
      </x:c>
    </x:row>
    <x:row r="594">
      <x:c r="A594" s="25" t="str">
        <x:v>930</x:v>
      </x:c>
      <x:c r="B594" s="25" t="str">
        <x:v>Taxe d’Apprentissage</x:v>
      </x:c>
      <x:c r="C594" s="25" t="str"/>
      <x:c r="D594" s="64" t="n">
        <x:f>Lot_paie!AA20</x:f>
        <x:v>0</x:v>
      </x:c>
      <x:c r="E594" s="64" t="str"/>
      <x:c r="F594" s="64" t="str"/>
      <x:c r="G594" s="66" t="n">
        <x:f>Parametres_Paie!$B$16</x:f>
        <x:v>0.004</x:v>
      </x:c>
      <x:c r="H594" s="64" t="n">
        <x:f>Lot_paie!AN20</x:f>
        <x:v>0</x:v>
      </x:c>
    </x:row>
    <x:row r="595">
      <x:c r="A595" s="25" t="str">
        <x:v>931</x:v>
      </x:c>
      <x:c r="B595" s="25" t="str">
        <x:v>Taxe Formation Professionnelle Continue</x:v>
      </x:c>
      <x:c r="C595" s="25" t="str"/>
      <x:c r="D595" s="64" t="n">
        <x:f>Lot_paie!AA20</x:f>
        <x:v>0</x:v>
      </x:c>
      <x:c r="E595" s="64" t="str"/>
      <x:c r="F595" s="64" t="str"/>
      <x:c r="G595" s="66" t="n">
        <x:f>Parametres_Paie!$B$17</x:f>
        <x:v>0.006</x:v>
      </x:c>
      <x:c r="H595" s="64" t="n">
        <x:f>Lot_paie!AO20</x:f>
        <x:v>0</x:v>
      </x:c>
    </x:row>
    <x:row r="596">
      <x:c r="A596" s="25" t="str">
        <x:v>932</x:v>
      </x:c>
      <x:c r="B596" s="25" t="str">
        <x:v>Taxe FPC Fin d’année</x:v>
      </x:c>
      <x:c r="C596" s="25" t="str"/>
      <x:c r="D596" s="64" t="n">
        <x:f>Lot_paie!AA20</x:f>
        <x:v>0</x:v>
      </x:c>
      <x:c r="E596" s="64" t="str"/>
      <x:c r="F596" s="64" t="str"/>
      <x:c r="G596" s="66" t="n">
        <x:f>Parametres_Paie!$B$18</x:f>
        <x:v>0.006</x:v>
      </x:c>
      <x:c r="H596" s="64" t="n">
        <x:f>Lot_paie!AP20</x:f>
        <x:v>0</x:v>
      </x:c>
    </x:row>
    <x:row r="597">
      <x:c r="A597" s="25" t="str"/>
      <x:c r="B597" s="83" t="str">
        <x:v>Total retenues fiscales et sociales</x:v>
      </x:c>
      <x:c r="C597" s="83" t="str"/>
      <x:c r="D597" s="84" t="str"/>
      <x:c r="E597" s="84" t="str"/>
      <x:c r="F597" s="84" t="n">
        <x:f>Lot_paie!AG20</x:f>
        <x:v>0</x:v>
      </x:c>
      <x:c r="G597" s="85" t="str"/>
      <x:c r="H597" s="84" t="n">
        <x:f>Lot_paie!AQ20</x:f>
        <x:v>0</x:v>
      </x:c>
    </x:row>
    <x:row r="598">
      <x:c r="A598" s="25" t="str">
        <x:v>204</x:v>
      </x:c>
      <x:c r="B598" s="25" t="str">
        <x:v>Indemnité Transport N. Imposable</x:v>
      </x:c>
      <x:c r="C598" s="25" t="str">
        <x:v>30</x:v>
      </x:c>
      <x:c r="D598" s="64" t="n">
        <x:f>Lot_paie!Y20</x:f>
        <x:v>0</x:v>
      </x:c>
      <x:c r="E598" s="64" t="str"/>
      <x:c r="F598" s="64" t="n">
        <x:f>Lot_paie!Y20</x:f>
        <x:v>0</x:v>
      </x:c>
      <x:c r="G598" s="66" t="str"/>
      <x:c r="H598" s="64" t="str"/>
    </x:row>
    <x:row r="599">
      <x:c r="A599" s="25" t="str"/>
      <x:c r="B599" s="25" t="str">
        <x:v>Total gains non imposables</x:v>
      </x:c>
      <x:c r="C599" s="25" t="str"/>
      <x:c r="D599" s="64" t="str"/>
      <x:c r="E599" s="64" t="str"/>
      <x:c r="F599" s="64" t="n">
        <x:f>Lot_paie!AR20</x:f>
        <x:v>0</x:v>
      </x:c>
      <x:c r="G599" s="66" t="str"/>
      <x:c r="H599" s="64" t="str"/>
    </x:row>
    <x:row r="600">
      <x:c r="A600" s="25" t="str"/>
      <x:c r="B600" s="110" t="str">
        <x:v>NET À PAYER</x:v>
      </x:c>
      <x:c r="C600" s="110" t="str"/>
      <x:c r="D600" s="111" t="str"/>
      <x:c r="E600" s="111" t="str"/>
      <x:c r="F600" s="111" t="str"/>
      <x:c r="G600" s="112" t="str"/>
      <x:c r="H600" s="111" t="n">
        <x:f>Lot_paie!AT20</x:f>
        <x:v>0</x:v>
      </x:c>
    </x:row>
    <x:row r="601">
      <x:c r="A601" s="25"/>
      <x:c r="B601" s="25"/>
      <x:c r="C601" s="25"/>
      <x:c r="D601" s="25"/>
      <x:c r="E601" s="25"/>
      <x:c r="F601" s="25"/>
      <x:c r="G601" s="25"/>
      <x:c r="H601" s="25"/>
    </x:row>
    <x:row r="602">
      <x:c r="A602" s="25"/>
      <x:c r="B602" s="25"/>
      <x:c r="C602" s="25"/>
      <x:c r="D602" s="25"/>
      <x:c r="E602" s="25"/>
      <x:c r="F602" s="25"/>
      <x:c r="G602" s="25"/>
      <x:c r="H602" s="25"/>
    </x:row>
    <x:row r="603">
      <x:c r="A603" s="25"/>
      <x:c r="B603" s="25"/>
      <x:c r="C603" s="25"/>
      <x:c r="D603" s="25"/>
      <x:c r="E603" s="25"/>
      <x:c r="F603" s="25"/>
      <x:c r="G603" s="25"/>
      <x:c r="H603" s="25"/>
    </x:row>
    <x:row r="604">
      <x:c r="A604" s="25"/>
      <x:c r="B604" s="25"/>
      <x:c r="C604" s="25"/>
      <x:c r="D604" s="25"/>
      <x:c r="E604" s="25"/>
      <x:c r="F604" s="25"/>
      <x:c r="G604" s="25"/>
      <x:c r="H604" s="25"/>
    </x:row>
    <x:row r="605">
      <x:c r="A605" s="25"/>
      <x:c r="B605" s="25"/>
      <x:c r="C605" s="25"/>
      <x:c r="D605" s="25"/>
      <x:c r="E605" s="25"/>
      <x:c r="F605" s="25"/>
      <x:c r="G605" s="25"/>
      <x:c r="H605" s="25"/>
    </x:row>
    <x:row r="606">
      <x:c r="A606" s="25"/>
      <x:c r="B606" s="25"/>
      <x:c r="C606" s="25"/>
      <x:c r="D606" s="25"/>
      <x:c r="E606" s="25"/>
      <x:c r="F606" s="25"/>
      <x:c r="G606" s="25"/>
      <x:c r="H606" s="25"/>
    </x:row>
    <x:row r="607">
      <x:c r="A607" s="25"/>
      <x:c r="B607" s="25"/>
      <x:c r="C607" s="25"/>
      <x:c r="D607" s="25"/>
      <x:c r="E607" s="25"/>
      <x:c r="F607" s="25"/>
      <x:c r="G607" s="25"/>
      <x:c r="H607" s="25"/>
    </x:row>
    <x:row r="609">
      <x:c r="A609" s="108" t="str">
        <x:v>BULLETIN DE PAIE – AAEA / AfWASA</x:v>
      </x:c>
      <x:c r="B609" s="108"/>
      <x:c r="C609" s="108"/>
      <x:c r="D609" s="108"/>
      <x:c r="E609" s="108"/>
      <x:c r="F609" s="108"/>
      <x:c r="G609" s="108"/>
      <x:c r="H609" s="108"/>
    </x:row>
    <x:row r="610">
      <x:c r="A610" s="25" t="str">
        <x:v>Matricule</x:v>
      </x:c>
      <x:c r="B610" s="25" t="str">
        <x:f>Lot_paie!A21</x:f>
        <x:v>0075J</x:v>
      </x:c>
      <x:c r="C610" s="25" t="str">
        <x:v>Période</x:v>
      </x:c>
      <x:c r="D610" s="25" t="str">
        <x:f>Parametres_Paie!$B$26</x:f>
        <x:v>Janvier 2025</x:v>
      </x:c>
      <x:c r="E610" s="25" t="str">
        <x:v>Paiement</x:v>
      </x:c>
      <x:c r="F610" s="25" t="n">
        <x:f>Parametres_Paie!$B$25</x:f>
        <x:v>45688</x:v>
      </x:c>
      <x:c r="G610" s="25" t="str"/>
      <x:c r="H610" s="25" t="str"/>
    </x:row>
    <x:row r="611">
      <x:c r="A611" s="25" t="str">
        <x:v>Nom et prénom</x:v>
      </x:c>
      <x:c r="B611" s="25" t="str">
        <x:f>Lot_paie!B21&amp;" "&amp;Lot_paie!C21</x:f>
        <x:v>MABIO Olivier Franck De Sales</x:v>
      </x:c>
      <x:c r="C611" s="25" t="str">
        <x:v>Poste</x:v>
      </x:c>
      <x:c r="D611" s="25" t="str">
        <x:f>Lot_paie!F21</x:f>
        <x:v>Assistant Comptabilité Générale</x:v>
      </x:c>
      <x:c r="E611" s="25" t="str">
        <x:v>CNPS</x:v>
      </x:c>
      <x:c r="F611" s="25" t="n">
        <x:f>Lot_paie!J21</x:f>
        <x:v>202200051913</x:v>
      </x:c>
      <x:c r="G611" s="25" t="str"/>
      <x:c r="H611" s="25" t="str"/>
    </x:row>
    <x:row r="612">
      <x:c r="A612" s="25" t="str">
        <x:v>Direction</x:v>
      </x:c>
      <x:c r="B612" s="25" t="str">
        <x:f>Lot_paie!D21</x:f>
        <x:v>Direction Administrative et Financière</x:v>
      </x:c>
      <x:c r="C612" s="25" t="str">
        <x:v>Date entrée</x:v>
      </x:c>
      <x:c r="D612" s="25" t="n">
        <x:f>Lot_paie!I21</x:f>
        <x:v>44562</x:v>
      </x:c>
      <x:c r="E612" s="25" t="str">
        <x:v>Ancienneté</x:v>
      </x:c>
      <x:c r="F612" s="25" t="str">
        <x:f>Lot_paie!V21</x:f>
        <x:v>3 ans (calcul période)</x:v>
      </x:c>
      <x:c r="G612" s="25" t="str"/>
      <x:c r="H612" s="25" t="str"/>
    </x:row>
    <x:row r="613">
      <x:c r="A613" s="25"/>
      <x:c r="B613" s="25"/>
      <x:c r="C613" s="25"/>
      <x:c r="D613" s="25"/>
      <x:c r="E613" s="25"/>
      <x:c r="F613" s="25"/>
      <x:c r="G613" s="25"/>
      <x:c r="H613" s="25"/>
    </x:row>
    <x:row r="614">
      <x:c r="A614" s="14" t="str">
        <x:v>N°</x:v>
      </x:c>
      <x:c r="B614" s="14" t="str">
        <x:v>Désignation</x:v>
      </x:c>
      <x:c r="C614" s="14" t="str">
        <x:v>Nombre</x:v>
      </x:c>
      <x:c r="D614" s="14" t="str">
        <x:v>Base</x:v>
      </x:c>
      <x:c r="E614" s="14" t="str">
        <x:v>Taux Sal.</x:v>
      </x:c>
      <x:c r="F614" s="14" t="str">
        <x:v>Ret. Sal.</x:v>
      </x:c>
      <x:c r="G614" s="14" t="str">
        <x:v>Taux Pat.</x:v>
      </x:c>
      <x:c r="H614" s="14" t="str">
        <x:v>Ret. Pat.</x:v>
      </x:c>
    </x:row>
    <x:row r="615">
      <x:c r="A615" s="25" t="str">
        <x:v>100</x:v>
      </x:c>
      <x:c r="B615" s="25" t="str">
        <x:v>Salaire de base</x:v>
      </x:c>
      <x:c r="C615" s="25" t="str">
        <x:v>30</x:v>
      </x:c>
      <x:c r="D615" s="64" t="n">
        <x:f>Lot_paie!K21</x:f>
        <x:v>0</x:v>
      </x:c>
      <x:c r="E615" s="64" t="str"/>
      <x:c r="F615" s="64" t="str"/>
      <x:c r="G615" s="64" t="str"/>
      <x:c r="H615" s="64" t="str"/>
    </x:row>
    <x:row r="616">
      <x:c r="A616" s="25" t="str">
        <x:v>110</x:v>
      </x:c>
      <x:c r="B616" s="25" t="str">
        <x:v>Sursalaire</x:v>
      </x:c>
      <x:c r="C616" s="25" t="str">
        <x:v>30</x:v>
      </x:c>
      <x:c r="D616" s="64" t="n">
        <x:f>Lot_paie!L21</x:f>
        <x:v>0</x:v>
      </x:c>
      <x:c r="E616" s="64" t="str"/>
      <x:c r="F616" s="64" t="str"/>
      <x:c r="G616" s="64" t="str"/>
      <x:c r="H616" s="64" t="str"/>
    </x:row>
    <x:row r="617">
      <x:c r="A617" s="25" t="str">
        <x:v>120</x:v>
      </x:c>
      <x:c r="B617" s="25" t="str">
        <x:v>Prime ancienneté</x:v>
      </x:c>
      <x:c r="C617" s="25" t="n">
        <x:f>Lot_paie!U21</x:f>
        <x:v>3</x:v>
      </x:c>
      <x:c r="D617" s="64" t="n">
        <x:f>Lot_paie!X21</x:f>
        <x:v>0</x:v>
      </x:c>
      <x:c r="E617" s="64" t="str"/>
      <x:c r="F617" s="64" t="str"/>
      <x:c r="G617" s="64" t="str"/>
      <x:c r="H617" s="64" t="str"/>
    </x:row>
    <x:row r="618">
      <x:c r="A618" s="25" t="str"/>
      <x:c r="B618" s="24" t="str">
        <x:v>Total brut imposable</x:v>
      </x:c>
      <x:c r="C618" s="24" t="str"/>
      <x:c r="D618" s="76" t="str"/>
      <x:c r="E618" s="76" t="str"/>
      <x:c r="F618" s="76" t="n">
        <x:f>Lot_paie!AA21</x:f>
        <x:v>0</x:v>
      </x:c>
      <x:c r="G618" s="76" t="str"/>
      <x:c r="H618" s="76" t="str"/>
    </x:row>
    <x:row r="619">
      <x:c r="A619" s="25" t="str">
        <x:v>810</x:v>
      </x:c>
      <x:c r="B619" s="25" t="str">
        <x:v>C.N.P.S.</x:v>
      </x:c>
      <x:c r="C619" s="25" t="str"/>
      <x:c r="D619" s="64" t="n">
        <x:f>Lot_paie!AB21</x:f>
        <x:v>0</x:v>
      </x:c>
      <x:c r="E619" s="66" t="n">
        <x:f>Parametres_Paie!$B$4</x:f>
        <x:v>0.063</x:v>
      </x:c>
      <x:c r="F619" s="64" t="n">
        <x:f>Lot_paie!AC21</x:f>
        <x:v>0</x:v>
      </x:c>
      <x:c r="G619" s="66" t="n">
        <x:f>Parametres_Paie!$B$5</x:f>
        <x:v>0.077</x:v>
      </x:c>
      <x:c r="H619" s="64" t="n">
        <x:f>Lot_paie!AH21</x:f>
        <x:v>0</x:v>
      </x:c>
    </x:row>
    <x:row r="620">
      <x:c r="A620" s="25" t="str">
        <x:v>815</x:v>
      </x:c>
      <x:c r="B620" s="25" t="str">
        <x:v>Retenue CMU employé</x:v>
      </x:c>
      <x:c r="C620" s="25" t="str"/>
      <x:c r="D620" s="64" t="n">
        <x:f>Lot_paie!AD21</x:f>
        <x:v>0</x:v>
      </x:c>
      <x:c r="E620" s="64" t="str"/>
      <x:c r="F620" s="64" t="n">
        <x:f>Lot_paie!AD21</x:f>
        <x:v>0</x:v>
      </x:c>
      <x:c r="G620" s="66" t="str"/>
      <x:c r="H620" s="64" t="n">
        <x:f>Lot_paie!AL21</x:f>
        <x:v>0</x:v>
      </x:c>
    </x:row>
    <x:row r="621">
      <x:c r="A621" s="25" t="str">
        <x:v>860</x:v>
      </x:c>
      <x:c r="B621" s="25" t="str">
        <x:v>I.T.S</x:v>
      </x:c>
      <x:c r="C621" s="25" t="str"/>
      <x:c r="D621" s="64" t="n">
        <x:f>Lot_paie!AA21</x:f>
        <x:v>0</x:v>
      </x:c>
      <x:c r="E621" s="64" t="str"/>
      <x:c r="F621" s="64" t="n">
        <x:f>Lot_paie!AF21</x:f>
        <x:v>0</x:v>
      </x:c>
      <x:c r="G621" s="66" t="str"/>
      <x:c r="H621" s="64" t="str"/>
    </x:row>
    <x:row r="622">
      <x:c r="A622" s="25" t="str">
        <x:v>912</x:v>
      </x:c>
      <x:c r="B622" s="25" t="str">
        <x:v>Prestation Familiale</x:v>
      </x:c>
      <x:c r="C622" s="25" t="str"/>
      <x:c r="D622" s="64" t="n">
        <x:f>Parametres_Paie!$B$7</x:f>
        <x:v>75000</x:v>
      </x:c>
      <x:c r="E622" s="64" t="str"/>
      <x:c r="F622" s="64" t="str"/>
      <x:c r="G622" s="66" t="n">
        <x:f>Parametres_Paie!$B$8</x:f>
        <x:v>0.05</x:v>
      </x:c>
      <x:c r="H622" s="64" t="n">
        <x:f>Lot_paie!AI21</x:f>
        <x:v>0</x:v>
      </x:c>
    </x:row>
    <x:row r="623">
      <x:c r="A623" s="25" t="str">
        <x:v>913</x:v>
      </x:c>
      <x:c r="B623" s="25" t="str">
        <x:v>Accident de Travail</x:v>
      </x:c>
      <x:c r="C623" s="25" t="str"/>
      <x:c r="D623" s="64" t="n">
        <x:f>Parametres_Paie!$B$7</x:f>
        <x:v>75000</x:v>
      </x:c>
      <x:c r="E623" s="64" t="str"/>
      <x:c r="F623" s="64" t="str"/>
      <x:c r="G623" s="66" t="n">
        <x:f>Lot_paie!T21</x:f>
        <x:v>0.02</x:v>
      </x:c>
      <x:c r="H623" s="64" t="n">
        <x:f>Lot_paie!AJ21</x:f>
        <x:v>0</x:v>
      </x:c>
    </x:row>
    <x:row r="624">
      <x:c r="A624" s="25" t="str">
        <x:v>914</x:v>
      </x:c>
      <x:c r="B624" s="25" t="str">
        <x:v>Assurance Maternité</x:v>
      </x:c>
      <x:c r="C624" s="25" t="str"/>
      <x:c r="D624" s="64" t="n">
        <x:f>Parametres_Paie!$B$7</x:f>
        <x:v>75000</x:v>
      </x:c>
      <x:c r="E624" s="64" t="str"/>
      <x:c r="F624" s="64" t="str"/>
      <x:c r="G624" s="66" t="n">
        <x:f>Parametres_Paie!$B$9</x:f>
        <x:v>0.0075</x:v>
      </x:c>
      <x:c r="H624" s="64" t="n">
        <x:f>Lot_paie!AK21</x:f>
        <x:v>0</x:v>
      </x:c>
    </x:row>
    <x:row r="625">
      <x:c r="A625" s="25" t="str">
        <x:v>924</x:v>
      </x:c>
      <x:c r="B625" s="25" t="str">
        <x:v>I.S. Employeur Local</x:v>
      </x:c>
      <x:c r="C625" s="25" t="str"/>
      <x:c r="D625" s="64" t="n">
        <x:f>Lot_paie!AA21</x:f>
        <x:v>0</x:v>
      </x:c>
      <x:c r="E625" s="64" t="str"/>
      <x:c r="F625" s="64" t="str"/>
      <x:c r="G625" s="66" t="n">
        <x:f>Parametres_Paie!$B$15</x:f>
        <x:v>0.012</x:v>
      </x:c>
      <x:c r="H625" s="64" t="n">
        <x:f>Lot_paie!AM21</x:f>
        <x:v>0</x:v>
      </x:c>
    </x:row>
    <x:row r="626">
      <x:c r="A626" s="25" t="str">
        <x:v>930</x:v>
      </x:c>
      <x:c r="B626" s="25" t="str">
        <x:v>Taxe d’Apprentissage</x:v>
      </x:c>
      <x:c r="C626" s="25" t="str"/>
      <x:c r="D626" s="64" t="n">
        <x:f>Lot_paie!AA21</x:f>
        <x:v>0</x:v>
      </x:c>
      <x:c r="E626" s="64" t="str"/>
      <x:c r="F626" s="64" t="str"/>
      <x:c r="G626" s="66" t="n">
        <x:f>Parametres_Paie!$B$16</x:f>
        <x:v>0.004</x:v>
      </x:c>
      <x:c r="H626" s="64" t="n">
        <x:f>Lot_paie!AN21</x:f>
        <x:v>0</x:v>
      </x:c>
    </x:row>
    <x:row r="627">
      <x:c r="A627" s="25" t="str">
        <x:v>931</x:v>
      </x:c>
      <x:c r="B627" s="25" t="str">
        <x:v>Taxe Formation Professionnelle Continue</x:v>
      </x:c>
      <x:c r="C627" s="25" t="str"/>
      <x:c r="D627" s="64" t="n">
        <x:f>Lot_paie!AA21</x:f>
        <x:v>0</x:v>
      </x:c>
      <x:c r="E627" s="64" t="str"/>
      <x:c r="F627" s="64" t="str"/>
      <x:c r="G627" s="66" t="n">
        <x:f>Parametres_Paie!$B$17</x:f>
        <x:v>0.006</x:v>
      </x:c>
      <x:c r="H627" s="64" t="n">
        <x:f>Lot_paie!AO21</x:f>
        <x:v>0</x:v>
      </x:c>
    </x:row>
    <x:row r="628">
      <x:c r="A628" s="25" t="str">
        <x:v>932</x:v>
      </x:c>
      <x:c r="B628" s="25" t="str">
        <x:v>Taxe FPC Fin d’année</x:v>
      </x:c>
      <x:c r="C628" s="25" t="str"/>
      <x:c r="D628" s="64" t="n">
        <x:f>Lot_paie!AA21</x:f>
        <x:v>0</x:v>
      </x:c>
      <x:c r="E628" s="64" t="str"/>
      <x:c r="F628" s="64" t="str"/>
      <x:c r="G628" s="66" t="n">
        <x:f>Parametres_Paie!$B$18</x:f>
        <x:v>0.006</x:v>
      </x:c>
      <x:c r="H628" s="64" t="n">
        <x:f>Lot_paie!AP21</x:f>
        <x:v>0</x:v>
      </x:c>
    </x:row>
    <x:row r="629">
      <x:c r="A629" s="25" t="str"/>
      <x:c r="B629" s="83" t="str">
        <x:v>Total retenues fiscales et sociales</x:v>
      </x:c>
      <x:c r="C629" s="83" t="str"/>
      <x:c r="D629" s="84" t="str"/>
      <x:c r="E629" s="84" t="str"/>
      <x:c r="F629" s="84" t="n">
        <x:f>Lot_paie!AG21</x:f>
        <x:v>0</x:v>
      </x:c>
      <x:c r="G629" s="85" t="str"/>
      <x:c r="H629" s="84" t="n">
        <x:f>Lot_paie!AQ21</x:f>
        <x:v>0</x:v>
      </x:c>
    </x:row>
    <x:row r="630">
      <x:c r="A630" s="25" t="str">
        <x:v>204</x:v>
      </x:c>
      <x:c r="B630" s="25" t="str">
        <x:v>Indemnité Transport N. Imposable</x:v>
      </x:c>
      <x:c r="C630" s="25" t="str">
        <x:v>30</x:v>
      </x:c>
      <x:c r="D630" s="64" t="n">
        <x:f>Lot_paie!Y21</x:f>
        <x:v>0</x:v>
      </x:c>
      <x:c r="E630" s="64" t="str"/>
      <x:c r="F630" s="64" t="n">
        <x:f>Lot_paie!Y21</x:f>
        <x:v>0</x:v>
      </x:c>
      <x:c r="G630" s="66" t="str"/>
      <x:c r="H630" s="64" t="str"/>
    </x:row>
    <x:row r="631">
      <x:c r="A631" s="25" t="str"/>
      <x:c r="B631" s="25" t="str">
        <x:v>Total gains non imposables</x:v>
      </x:c>
      <x:c r="C631" s="25" t="str"/>
      <x:c r="D631" s="64" t="str"/>
      <x:c r="E631" s="64" t="str"/>
      <x:c r="F631" s="64" t="n">
        <x:f>Lot_paie!AR21</x:f>
        <x:v>0</x:v>
      </x:c>
      <x:c r="G631" s="66" t="str"/>
      <x:c r="H631" s="64" t="str"/>
    </x:row>
    <x:row r="632">
      <x:c r="A632" s="25" t="str"/>
      <x:c r="B632" s="110" t="str">
        <x:v>NET À PAYER</x:v>
      </x:c>
      <x:c r="C632" s="110" t="str"/>
      <x:c r="D632" s="111" t="str"/>
      <x:c r="E632" s="111" t="str"/>
      <x:c r="F632" s="111" t="str"/>
      <x:c r="G632" s="112" t="str"/>
      <x:c r="H632" s="111" t="n">
        <x:f>Lot_paie!AT21</x:f>
        <x:v>0</x:v>
      </x:c>
    </x:row>
    <x:row r="633">
      <x:c r="A633" s="25"/>
      <x:c r="B633" s="25"/>
      <x:c r="C633" s="25"/>
      <x:c r="D633" s="25"/>
      <x:c r="E633" s="25"/>
      <x:c r="F633" s="25"/>
      <x:c r="G633" s="25"/>
      <x:c r="H633" s="25"/>
    </x:row>
    <x:row r="634">
      <x:c r="A634" s="25"/>
      <x:c r="B634" s="25"/>
      <x:c r="C634" s="25"/>
      <x:c r="D634" s="25"/>
      <x:c r="E634" s="25"/>
      <x:c r="F634" s="25"/>
      <x:c r="G634" s="25"/>
      <x:c r="H634" s="25"/>
    </x:row>
    <x:row r="635">
      <x:c r="A635" s="25"/>
      <x:c r="B635" s="25"/>
      <x:c r="C635" s="25"/>
      <x:c r="D635" s="25"/>
      <x:c r="E635" s="25"/>
      <x:c r="F635" s="25"/>
      <x:c r="G635" s="25"/>
      <x:c r="H635" s="25"/>
    </x:row>
    <x:row r="636">
      <x:c r="A636" s="25"/>
      <x:c r="B636" s="25"/>
      <x:c r="C636" s="25"/>
      <x:c r="D636" s="25"/>
      <x:c r="E636" s="25"/>
      <x:c r="F636" s="25"/>
      <x:c r="G636" s="25"/>
      <x:c r="H636" s="25"/>
    </x:row>
    <x:row r="637">
      <x:c r="A637" s="25"/>
      <x:c r="B637" s="25"/>
      <x:c r="C637" s="25"/>
      <x:c r="D637" s="25"/>
      <x:c r="E637" s="25"/>
      <x:c r="F637" s="25"/>
      <x:c r="G637" s="25"/>
      <x:c r="H637" s="25"/>
    </x:row>
    <x:row r="638">
      <x:c r="A638" s="25"/>
      <x:c r="B638" s="25"/>
      <x:c r="C638" s="25"/>
      <x:c r="D638" s="25"/>
      <x:c r="E638" s="25"/>
      <x:c r="F638" s="25"/>
      <x:c r="G638" s="25"/>
      <x:c r="H638" s="25"/>
    </x:row>
    <x:row r="639">
      <x:c r="A639" s="25"/>
      <x:c r="B639" s="25"/>
      <x:c r="C639" s="25"/>
      <x:c r="D639" s="25"/>
      <x:c r="E639" s="25"/>
      <x:c r="F639" s="25"/>
      <x:c r="G639" s="25"/>
      <x:c r="H639" s="25"/>
    </x:row>
    <x:row r="641">
      <x:c r="A641" s="108" t="str">
        <x:v>BULLETIN DE PAIE – AAEA / AfWASA</x:v>
      </x:c>
      <x:c r="B641" s="108"/>
      <x:c r="C641" s="108"/>
      <x:c r="D641" s="108"/>
      <x:c r="E641" s="108"/>
      <x:c r="F641" s="108"/>
      <x:c r="G641" s="108"/>
      <x:c r="H641" s="108"/>
    </x:row>
    <x:row r="642">
      <x:c r="A642" s="25" t="str">
        <x:v>Matricule</x:v>
      </x:c>
      <x:c r="B642" s="25" t="str">
        <x:f>Lot_paie!A22</x:f>
        <x:v>0076J</x:v>
      </x:c>
      <x:c r="C642" s="25" t="str">
        <x:v>Période</x:v>
      </x:c>
      <x:c r="D642" s="25" t="str">
        <x:f>Parametres_Paie!$B$26</x:f>
        <x:v>Janvier 2025</x:v>
      </x:c>
      <x:c r="E642" s="25" t="str">
        <x:v>Paiement</x:v>
      </x:c>
      <x:c r="F642" s="25" t="n">
        <x:f>Parametres_Paie!$B$25</x:f>
        <x:v>45688</x:v>
      </x:c>
      <x:c r="G642" s="25" t="str"/>
      <x:c r="H642" s="25" t="str"/>
    </x:row>
    <x:row r="643">
      <x:c r="A643" s="25" t="str">
        <x:v>Nom et prénom</x:v>
      </x:c>
      <x:c r="B643" s="25" t="str">
        <x:f>Lot_paie!B22&amp;" "&amp;Lot_paie!C22</x:f>
        <x:v>GUEU Aman Edwige</x:v>
      </x:c>
      <x:c r="C643" s="25" t="str">
        <x:v>Poste</x:v>
      </x:c>
      <x:c r="D643" s="25" t="str">
        <x:f>Lot_paie!F22</x:f>
        <x:v>Assistante Comptabilité-Trésorerie</x:v>
      </x:c>
      <x:c r="E643" s="25" t="str">
        <x:v>CNPS</x:v>
      </x:c>
      <x:c r="F643" s="25" t="n">
        <x:f>Lot_paie!J22</x:f>
        <x:v>202200053099</x:v>
      </x:c>
      <x:c r="G643" s="25" t="str"/>
      <x:c r="H643" s="25" t="str"/>
    </x:row>
    <x:row r="644">
      <x:c r="A644" s="25" t="str">
        <x:v>Direction</x:v>
      </x:c>
      <x:c r="B644" s="25" t="str">
        <x:f>Lot_paie!D22</x:f>
        <x:v>Direction Administrative et Financière</x:v>
      </x:c>
      <x:c r="C644" s="25" t="str">
        <x:v>Date entrée</x:v>
      </x:c>
      <x:c r="D644" s="25" t="n">
        <x:f>Lot_paie!I22</x:f>
        <x:v>44562</x:v>
      </x:c>
      <x:c r="E644" s="25" t="str">
        <x:v>Ancienneté</x:v>
      </x:c>
      <x:c r="F644" s="25" t="str">
        <x:f>Lot_paie!V22</x:f>
        <x:v>3 ans (calcul période)</x:v>
      </x:c>
      <x:c r="G644" s="25" t="str"/>
      <x:c r="H644" s="25" t="str"/>
    </x:row>
    <x:row r="645">
      <x:c r="A645" s="25"/>
      <x:c r="B645" s="25"/>
      <x:c r="C645" s="25"/>
      <x:c r="D645" s="25"/>
      <x:c r="E645" s="25"/>
      <x:c r="F645" s="25"/>
      <x:c r="G645" s="25"/>
      <x:c r="H645" s="25"/>
    </x:row>
    <x:row r="646">
      <x:c r="A646" s="14" t="str">
        <x:v>N°</x:v>
      </x:c>
      <x:c r="B646" s="14" t="str">
        <x:v>Désignation</x:v>
      </x:c>
      <x:c r="C646" s="14" t="str">
        <x:v>Nombre</x:v>
      </x:c>
      <x:c r="D646" s="14" t="str">
        <x:v>Base</x:v>
      </x:c>
      <x:c r="E646" s="14" t="str">
        <x:v>Taux Sal.</x:v>
      </x:c>
      <x:c r="F646" s="14" t="str">
        <x:v>Ret. Sal.</x:v>
      </x:c>
      <x:c r="G646" s="14" t="str">
        <x:v>Taux Pat.</x:v>
      </x:c>
      <x:c r="H646" s="14" t="str">
        <x:v>Ret. Pat.</x:v>
      </x:c>
    </x:row>
    <x:row r="647">
      <x:c r="A647" s="25" t="str">
        <x:v>100</x:v>
      </x:c>
      <x:c r="B647" s="25" t="str">
        <x:v>Salaire de base</x:v>
      </x:c>
      <x:c r="C647" s="25" t="str">
        <x:v>30</x:v>
      </x:c>
      <x:c r="D647" s="64" t="n">
        <x:f>Lot_paie!K22</x:f>
        <x:v>0</x:v>
      </x:c>
      <x:c r="E647" s="64" t="str"/>
      <x:c r="F647" s="64" t="str"/>
      <x:c r="G647" s="64" t="str"/>
      <x:c r="H647" s="64" t="str"/>
    </x:row>
    <x:row r="648">
      <x:c r="A648" s="25" t="str">
        <x:v>110</x:v>
      </x:c>
      <x:c r="B648" s="25" t="str">
        <x:v>Sursalaire</x:v>
      </x:c>
      <x:c r="C648" s="25" t="str">
        <x:v>30</x:v>
      </x:c>
      <x:c r="D648" s="64" t="n">
        <x:f>Lot_paie!L22</x:f>
        <x:v>0</x:v>
      </x:c>
      <x:c r="E648" s="64" t="str"/>
      <x:c r="F648" s="64" t="str"/>
      <x:c r="G648" s="64" t="str"/>
      <x:c r="H648" s="64" t="str"/>
    </x:row>
    <x:row r="649">
      <x:c r="A649" s="25" t="str">
        <x:v>120</x:v>
      </x:c>
      <x:c r="B649" s="25" t="str">
        <x:v>Prime ancienneté</x:v>
      </x:c>
      <x:c r="C649" s="25" t="n">
        <x:f>Lot_paie!U22</x:f>
        <x:v>3</x:v>
      </x:c>
      <x:c r="D649" s="64" t="n">
        <x:f>Lot_paie!X22</x:f>
        <x:v>0</x:v>
      </x:c>
      <x:c r="E649" s="64" t="str"/>
      <x:c r="F649" s="64" t="str"/>
      <x:c r="G649" s="64" t="str"/>
      <x:c r="H649" s="64" t="str"/>
    </x:row>
    <x:row r="650">
      <x:c r="A650" s="25" t="str"/>
      <x:c r="B650" s="24" t="str">
        <x:v>Total brut imposable</x:v>
      </x:c>
      <x:c r="C650" s="24" t="str"/>
      <x:c r="D650" s="76" t="str"/>
      <x:c r="E650" s="76" t="str"/>
      <x:c r="F650" s="76" t="n">
        <x:f>Lot_paie!AA22</x:f>
        <x:v>0</x:v>
      </x:c>
      <x:c r="G650" s="76" t="str"/>
      <x:c r="H650" s="76" t="str"/>
    </x:row>
    <x:row r="651">
      <x:c r="A651" s="25" t="str">
        <x:v>810</x:v>
      </x:c>
      <x:c r="B651" s="25" t="str">
        <x:v>C.N.P.S.</x:v>
      </x:c>
      <x:c r="C651" s="25" t="str"/>
      <x:c r="D651" s="64" t="n">
        <x:f>Lot_paie!AB22</x:f>
        <x:v>0</x:v>
      </x:c>
      <x:c r="E651" s="66" t="n">
        <x:f>Parametres_Paie!$B$4</x:f>
        <x:v>0.063</x:v>
      </x:c>
      <x:c r="F651" s="64" t="n">
        <x:f>Lot_paie!AC22</x:f>
        <x:v>0</x:v>
      </x:c>
      <x:c r="G651" s="66" t="n">
        <x:f>Parametres_Paie!$B$5</x:f>
        <x:v>0.077</x:v>
      </x:c>
      <x:c r="H651" s="64" t="n">
        <x:f>Lot_paie!AH22</x:f>
        <x:v>0</x:v>
      </x:c>
    </x:row>
    <x:row r="652">
      <x:c r="A652" s="25" t="str">
        <x:v>815</x:v>
      </x:c>
      <x:c r="B652" s="25" t="str">
        <x:v>Retenue CMU employé</x:v>
      </x:c>
      <x:c r="C652" s="25" t="str"/>
      <x:c r="D652" s="64" t="n">
        <x:f>Lot_paie!AD22</x:f>
        <x:v>0</x:v>
      </x:c>
      <x:c r="E652" s="64" t="str"/>
      <x:c r="F652" s="64" t="n">
        <x:f>Lot_paie!AD22</x:f>
        <x:v>0</x:v>
      </x:c>
      <x:c r="G652" s="66" t="str"/>
      <x:c r="H652" s="64" t="n">
        <x:f>Lot_paie!AL22</x:f>
        <x:v>0</x:v>
      </x:c>
    </x:row>
    <x:row r="653">
      <x:c r="A653" s="25" t="str">
        <x:v>860</x:v>
      </x:c>
      <x:c r="B653" s="25" t="str">
        <x:v>I.T.S</x:v>
      </x:c>
      <x:c r="C653" s="25" t="str"/>
      <x:c r="D653" s="64" t="n">
        <x:f>Lot_paie!AA22</x:f>
        <x:v>0</x:v>
      </x:c>
      <x:c r="E653" s="64" t="str"/>
      <x:c r="F653" s="64" t="n">
        <x:f>Lot_paie!AF22</x:f>
        <x:v>0</x:v>
      </x:c>
      <x:c r="G653" s="66" t="str"/>
      <x:c r="H653" s="64" t="str"/>
    </x:row>
    <x:row r="654">
      <x:c r="A654" s="25" t="str">
        <x:v>912</x:v>
      </x:c>
      <x:c r="B654" s="25" t="str">
        <x:v>Prestation Familiale</x:v>
      </x:c>
      <x:c r="C654" s="25" t="str"/>
      <x:c r="D654" s="64" t="n">
        <x:f>Parametres_Paie!$B$7</x:f>
        <x:v>75000</x:v>
      </x:c>
      <x:c r="E654" s="64" t="str"/>
      <x:c r="F654" s="64" t="str"/>
      <x:c r="G654" s="66" t="n">
        <x:f>Parametres_Paie!$B$8</x:f>
        <x:v>0.05</x:v>
      </x:c>
      <x:c r="H654" s="64" t="n">
        <x:f>Lot_paie!AI22</x:f>
        <x:v>0</x:v>
      </x:c>
    </x:row>
    <x:row r="655">
      <x:c r="A655" s="25" t="str">
        <x:v>913</x:v>
      </x:c>
      <x:c r="B655" s="25" t="str">
        <x:v>Accident de Travail</x:v>
      </x:c>
      <x:c r="C655" s="25" t="str"/>
      <x:c r="D655" s="64" t="n">
        <x:f>Parametres_Paie!$B$7</x:f>
        <x:v>75000</x:v>
      </x:c>
      <x:c r="E655" s="64" t="str"/>
      <x:c r="F655" s="64" t="str"/>
      <x:c r="G655" s="66" t="n">
        <x:f>Lot_paie!T22</x:f>
        <x:v>0.02</x:v>
      </x:c>
      <x:c r="H655" s="64" t="n">
        <x:f>Lot_paie!AJ22</x:f>
        <x:v>0</x:v>
      </x:c>
    </x:row>
    <x:row r="656">
      <x:c r="A656" s="25" t="str">
        <x:v>914</x:v>
      </x:c>
      <x:c r="B656" s="25" t="str">
        <x:v>Assurance Maternité</x:v>
      </x:c>
      <x:c r="C656" s="25" t="str"/>
      <x:c r="D656" s="64" t="n">
        <x:f>Parametres_Paie!$B$7</x:f>
        <x:v>75000</x:v>
      </x:c>
      <x:c r="E656" s="64" t="str"/>
      <x:c r="F656" s="64" t="str"/>
      <x:c r="G656" s="66" t="n">
        <x:f>Parametres_Paie!$B$9</x:f>
        <x:v>0.0075</x:v>
      </x:c>
      <x:c r="H656" s="64" t="n">
        <x:f>Lot_paie!AK22</x:f>
        <x:v>0</x:v>
      </x:c>
    </x:row>
    <x:row r="657">
      <x:c r="A657" s="25" t="str">
        <x:v>924</x:v>
      </x:c>
      <x:c r="B657" s="25" t="str">
        <x:v>I.S. Employeur Local</x:v>
      </x:c>
      <x:c r="C657" s="25" t="str"/>
      <x:c r="D657" s="64" t="n">
        <x:f>Lot_paie!AA22</x:f>
        <x:v>0</x:v>
      </x:c>
      <x:c r="E657" s="64" t="str"/>
      <x:c r="F657" s="64" t="str"/>
      <x:c r="G657" s="66" t="n">
        <x:f>Parametres_Paie!$B$15</x:f>
        <x:v>0.012</x:v>
      </x:c>
      <x:c r="H657" s="64" t="n">
        <x:f>Lot_paie!AM22</x:f>
        <x:v>0</x:v>
      </x:c>
    </x:row>
    <x:row r="658">
      <x:c r="A658" s="25" t="str">
        <x:v>930</x:v>
      </x:c>
      <x:c r="B658" s="25" t="str">
        <x:v>Taxe d’Apprentissage</x:v>
      </x:c>
      <x:c r="C658" s="25" t="str"/>
      <x:c r="D658" s="64" t="n">
        <x:f>Lot_paie!AA22</x:f>
        <x:v>0</x:v>
      </x:c>
      <x:c r="E658" s="64" t="str"/>
      <x:c r="F658" s="64" t="str"/>
      <x:c r="G658" s="66" t="n">
        <x:f>Parametres_Paie!$B$16</x:f>
        <x:v>0.004</x:v>
      </x:c>
      <x:c r="H658" s="64" t="n">
        <x:f>Lot_paie!AN22</x:f>
        <x:v>0</x:v>
      </x:c>
    </x:row>
    <x:row r="659">
      <x:c r="A659" s="25" t="str">
        <x:v>931</x:v>
      </x:c>
      <x:c r="B659" s="25" t="str">
        <x:v>Taxe Formation Professionnelle Continue</x:v>
      </x:c>
      <x:c r="C659" s="25" t="str"/>
      <x:c r="D659" s="64" t="n">
        <x:f>Lot_paie!AA22</x:f>
        <x:v>0</x:v>
      </x:c>
      <x:c r="E659" s="64" t="str"/>
      <x:c r="F659" s="64" t="str"/>
      <x:c r="G659" s="66" t="n">
        <x:f>Parametres_Paie!$B$17</x:f>
        <x:v>0.006</x:v>
      </x:c>
      <x:c r="H659" s="64" t="n">
        <x:f>Lot_paie!AO22</x:f>
        <x:v>0</x:v>
      </x:c>
    </x:row>
    <x:row r="660">
      <x:c r="A660" s="25" t="str">
        <x:v>932</x:v>
      </x:c>
      <x:c r="B660" s="25" t="str">
        <x:v>Taxe FPC Fin d’année</x:v>
      </x:c>
      <x:c r="C660" s="25" t="str"/>
      <x:c r="D660" s="64" t="n">
        <x:f>Lot_paie!AA22</x:f>
        <x:v>0</x:v>
      </x:c>
      <x:c r="E660" s="64" t="str"/>
      <x:c r="F660" s="64" t="str"/>
      <x:c r="G660" s="66" t="n">
        <x:f>Parametres_Paie!$B$18</x:f>
        <x:v>0.006</x:v>
      </x:c>
      <x:c r="H660" s="64" t="n">
        <x:f>Lot_paie!AP22</x:f>
        <x:v>0</x:v>
      </x:c>
    </x:row>
    <x:row r="661">
      <x:c r="A661" s="25" t="str"/>
      <x:c r="B661" s="83" t="str">
        <x:v>Total retenues fiscales et sociales</x:v>
      </x:c>
      <x:c r="C661" s="83" t="str"/>
      <x:c r="D661" s="84" t="str"/>
      <x:c r="E661" s="84" t="str"/>
      <x:c r="F661" s="84" t="n">
        <x:f>Lot_paie!AG22</x:f>
        <x:v>0</x:v>
      </x:c>
      <x:c r="G661" s="85" t="str"/>
      <x:c r="H661" s="84" t="n">
        <x:f>Lot_paie!AQ22</x:f>
        <x:v>0</x:v>
      </x:c>
    </x:row>
    <x:row r="662">
      <x:c r="A662" s="25" t="str">
        <x:v>204</x:v>
      </x:c>
      <x:c r="B662" s="25" t="str">
        <x:v>Indemnité Transport N. Imposable</x:v>
      </x:c>
      <x:c r="C662" s="25" t="str">
        <x:v>30</x:v>
      </x:c>
      <x:c r="D662" s="64" t="n">
        <x:f>Lot_paie!Y22</x:f>
        <x:v>0</x:v>
      </x:c>
      <x:c r="E662" s="64" t="str"/>
      <x:c r="F662" s="64" t="n">
        <x:f>Lot_paie!Y22</x:f>
        <x:v>0</x:v>
      </x:c>
      <x:c r="G662" s="66" t="str"/>
      <x:c r="H662" s="64" t="str"/>
    </x:row>
    <x:row r="663">
      <x:c r="A663" s="25" t="str"/>
      <x:c r="B663" s="25" t="str">
        <x:v>Total gains non imposables</x:v>
      </x:c>
      <x:c r="C663" s="25" t="str"/>
      <x:c r="D663" s="64" t="str"/>
      <x:c r="E663" s="64" t="str"/>
      <x:c r="F663" s="64" t="n">
        <x:f>Lot_paie!AR22</x:f>
        <x:v>0</x:v>
      </x:c>
      <x:c r="G663" s="66" t="str"/>
      <x:c r="H663" s="64" t="str"/>
    </x:row>
    <x:row r="664">
      <x:c r="A664" s="25" t="str"/>
      <x:c r="B664" s="110" t="str">
        <x:v>NET À PAYER</x:v>
      </x:c>
      <x:c r="C664" s="110" t="str"/>
      <x:c r="D664" s="111" t="str"/>
      <x:c r="E664" s="111" t="str"/>
      <x:c r="F664" s="111" t="str"/>
      <x:c r="G664" s="112" t="str"/>
      <x:c r="H664" s="111" t="n">
        <x:f>Lot_paie!AT22</x:f>
        <x:v>0</x:v>
      </x:c>
    </x:row>
    <x:row r="665">
      <x:c r="A665" s="25"/>
      <x:c r="B665" s="25"/>
      <x:c r="C665" s="25"/>
      <x:c r="D665" s="25"/>
      <x:c r="E665" s="25"/>
      <x:c r="F665" s="25"/>
      <x:c r="G665" s="25"/>
      <x:c r="H665" s="25"/>
    </x:row>
    <x:row r="666">
      <x:c r="A666" s="25"/>
      <x:c r="B666" s="25"/>
      <x:c r="C666" s="25"/>
      <x:c r="D666" s="25"/>
      <x:c r="E666" s="25"/>
      <x:c r="F666" s="25"/>
      <x:c r="G666" s="25"/>
      <x:c r="H666" s="25"/>
    </x:row>
    <x:row r="667">
      <x:c r="A667" s="25"/>
      <x:c r="B667" s="25"/>
      <x:c r="C667" s="25"/>
      <x:c r="D667" s="25"/>
      <x:c r="E667" s="25"/>
      <x:c r="F667" s="25"/>
      <x:c r="G667" s="25"/>
      <x:c r="H667" s="25"/>
    </x:row>
    <x:row r="668">
      <x:c r="A668" s="25"/>
      <x:c r="B668" s="25"/>
      <x:c r="C668" s="25"/>
      <x:c r="D668" s="25"/>
      <x:c r="E668" s="25"/>
      <x:c r="F668" s="25"/>
      <x:c r="G668" s="25"/>
      <x:c r="H668" s="25"/>
    </x:row>
    <x:row r="669">
      <x:c r="A669" s="25"/>
      <x:c r="B669" s="25"/>
      <x:c r="C669" s="25"/>
      <x:c r="D669" s="25"/>
      <x:c r="E669" s="25"/>
      <x:c r="F669" s="25"/>
      <x:c r="G669" s="25"/>
      <x:c r="H669" s="25"/>
    </x:row>
    <x:row r="670">
      <x:c r="A670" s="25"/>
      <x:c r="B670" s="25"/>
      <x:c r="C670" s="25"/>
      <x:c r="D670" s="25"/>
      <x:c r="E670" s="25"/>
      <x:c r="F670" s="25"/>
      <x:c r="G670" s="25"/>
      <x:c r="H670" s="25"/>
    </x:row>
    <x:row r="671">
      <x:c r="A671" s="25"/>
      <x:c r="B671" s="25"/>
      <x:c r="C671" s="25"/>
      <x:c r="D671" s="25"/>
      <x:c r="E671" s="25"/>
      <x:c r="F671" s="25"/>
      <x:c r="G671" s="25"/>
      <x:c r="H671" s="25"/>
    </x:row>
    <x:row r="673">
      <x:c r="A673" s="108" t="str">
        <x:v>BULLETIN DE PAIE – AAEA / AfWASA</x:v>
      </x:c>
      <x:c r="B673" s="108"/>
      <x:c r="C673" s="108"/>
      <x:c r="D673" s="108"/>
      <x:c r="E673" s="108"/>
      <x:c r="F673" s="108"/>
      <x:c r="G673" s="108"/>
      <x:c r="H673" s="108"/>
    </x:row>
    <x:row r="674">
      <x:c r="A674" s="25" t="str">
        <x:v>Matricule</x:v>
      </x:c>
      <x:c r="B674" s="25" t="str">
        <x:f>Lot_paie!A23</x:f>
        <x:v>0078M</x:v>
      </x:c>
      <x:c r="C674" s="25" t="str">
        <x:v>Période</x:v>
      </x:c>
      <x:c r="D674" s="25" t="str">
        <x:f>Parametres_Paie!$B$26</x:f>
        <x:v>Janvier 2025</x:v>
      </x:c>
      <x:c r="E674" s="25" t="str">
        <x:v>Paiement</x:v>
      </x:c>
      <x:c r="F674" s="25" t="n">
        <x:f>Parametres_Paie!$B$25</x:f>
        <x:v>45688</x:v>
      </x:c>
      <x:c r="G674" s="25" t="str"/>
      <x:c r="H674" s="25" t="str"/>
    </x:row>
    <x:row r="675">
      <x:c r="A675" s="25" t="str">
        <x:v>Nom et prénom</x:v>
      </x:c>
      <x:c r="B675" s="25" t="str">
        <x:f>Lot_paie!B23&amp;" "&amp;Lot_paie!C23</x:f>
        <x:v>UMUTANGAMPUNDU Djalia</x:v>
      </x:c>
      <x:c r="C675" s="25" t="str">
        <x:v>Poste</x:v>
      </x:c>
      <x:c r="D675" s="25" t="str">
        <x:f>Lot_paie!F23</x:f>
        <x:v>Chargé Technique des Programmes</x:v>
      </x:c>
      <x:c r="E675" s="25" t="str">
        <x:v>CNPS</x:v>
      </x:c>
      <x:c r="F675" s="25" t="n">
        <x:f>Lot_paie!J23</x:f>
        <x:v>202200057023</x:v>
      </x:c>
      <x:c r="G675" s="25" t="str"/>
      <x:c r="H675" s="25" t="str"/>
    </x:row>
    <x:row r="676">
      <x:c r="A676" s="25" t="str">
        <x:v>Direction</x:v>
      </x:c>
      <x:c r="B676" s="25" t="str">
        <x:f>Lot_paie!D23</x:f>
        <x:v>Direction des Services aux Membres et des Programmes</x:v>
      </x:c>
      <x:c r="C676" s="25" t="str">
        <x:v>Date entrée</x:v>
      </x:c>
      <x:c r="D676" s="25" t="n">
        <x:f>Lot_paie!I23</x:f>
        <x:v>44622</x:v>
      </x:c>
      <x:c r="E676" s="25" t="str">
        <x:v>Ancienneté</x:v>
      </x:c>
      <x:c r="F676" s="25" t="str">
        <x:f>Lot_paie!V23</x:f>
        <x:v>2 ans (calcul période)</x:v>
      </x:c>
      <x:c r="G676" s="25" t="str"/>
      <x:c r="H676" s="25" t="str"/>
    </x:row>
    <x:row r="677">
      <x:c r="A677" s="25"/>
      <x:c r="B677" s="25"/>
      <x:c r="C677" s="25"/>
      <x:c r="D677" s="25"/>
      <x:c r="E677" s="25"/>
      <x:c r="F677" s="25"/>
      <x:c r="G677" s="25"/>
      <x:c r="H677" s="25"/>
    </x:row>
    <x:row r="678">
      <x:c r="A678" s="14" t="str">
        <x:v>N°</x:v>
      </x:c>
      <x:c r="B678" s="14" t="str">
        <x:v>Désignation</x:v>
      </x:c>
      <x:c r="C678" s="14" t="str">
        <x:v>Nombre</x:v>
      </x:c>
      <x:c r="D678" s="14" t="str">
        <x:v>Base</x:v>
      </x:c>
      <x:c r="E678" s="14" t="str">
        <x:v>Taux Sal.</x:v>
      </x:c>
      <x:c r="F678" s="14" t="str">
        <x:v>Ret. Sal.</x:v>
      </x:c>
      <x:c r="G678" s="14" t="str">
        <x:v>Taux Pat.</x:v>
      </x:c>
      <x:c r="H678" s="14" t="str">
        <x:v>Ret. Pat.</x:v>
      </x:c>
    </x:row>
    <x:row r="679">
      <x:c r="A679" s="25" t="str">
        <x:v>100</x:v>
      </x:c>
      <x:c r="B679" s="25" t="str">
        <x:v>Salaire de base</x:v>
      </x:c>
      <x:c r="C679" s="25" t="str">
        <x:v>30</x:v>
      </x:c>
      <x:c r="D679" s="64" t="n">
        <x:f>Lot_paie!K23</x:f>
        <x:v>0</x:v>
      </x:c>
      <x:c r="E679" s="64" t="str"/>
      <x:c r="F679" s="64" t="str"/>
      <x:c r="G679" s="64" t="str"/>
      <x:c r="H679" s="64" t="str"/>
    </x:row>
    <x:row r="680">
      <x:c r="A680" s="25" t="str">
        <x:v>110</x:v>
      </x:c>
      <x:c r="B680" s="25" t="str">
        <x:v>Sursalaire</x:v>
      </x:c>
      <x:c r="C680" s="25" t="str">
        <x:v>30</x:v>
      </x:c>
      <x:c r="D680" s="64" t="n">
        <x:f>Lot_paie!L23</x:f>
        <x:v>0</x:v>
      </x:c>
      <x:c r="E680" s="64" t="str"/>
      <x:c r="F680" s="64" t="str"/>
      <x:c r="G680" s="64" t="str"/>
      <x:c r="H680" s="64" t="str"/>
    </x:row>
    <x:row r="681">
      <x:c r="A681" s="25" t="str">
        <x:v>120</x:v>
      </x:c>
      <x:c r="B681" s="25" t="str">
        <x:v>Prime ancienneté</x:v>
      </x:c>
      <x:c r="C681" s="25" t="n">
        <x:f>Lot_paie!U23</x:f>
        <x:v>2</x:v>
      </x:c>
      <x:c r="D681" s="64" t="n">
        <x:f>Lot_paie!X23</x:f>
        <x:v>0</x:v>
      </x:c>
      <x:c r="E681" s="64" t="str"/>
      <x:c r="F681" s="64" t="str"/>
      <x:c r="G681" s="64" t="str"/>
      <x:c r="H681" s="64" t="str"/>
    </x:row>
    <x:row r="682">
      <x:c r="A682" s="25" t="str"/>
      <x:c r="B682" s="24" t="str">
        <x:v>Total brut imposable</x:v>
      </x:c>
      <x:c r="C682" s="24" t="str"/>
      <x:c r="D682" s="76" t="str"/>
      <x:c r="E682" s="76" t="str"/>
      <x:c r="F682" s="76" t="n">
        <x:f>Lot_paie!AA23</x:f>
        <x:v>0</x:v>
      </x:c>
      <x:c r="G682" s="76" t="str"/>
      <x:c r="H682" s="76" t="str"/>
    </x:row>
    <x:row r="683">
      <x:c r="A683" s="25" t="str">
        <x:v>810</x:v>
      </x:c>
      <x:c r="B683" s="25" t="str">
        <x:v>C.N.P.S.</x:v>
      </x:c>
      <x:c r="C683" s="25" t="str"/>
      <x:c r="D683" s="64" t="n">
        <x:f>Lot_paie!AB23</x:f>
        <x:v>0</x:v>
      </x:c>
      <x:c r="E683" s="66" t="n">
        <x:f>Parametres_Paie!$B$4</x:f>
        <x:v>0.063</x:v>
      </x:c>
      <x:c r="F683" s="64" t="n">
        <x:f>Lot_paie!AC23</x:f>
        <x:v>0</x:v>
      </x:c>
      <x:c r="G683" s="66" t="n">
        <x:f>Parametres_Paie!$B$5</x:f>
        <x:v>0.077</x:v>
      </x:c>
      <x:c r="H683" s="64" t="n">
        <x:f>Lot_paie!AH23</x:f>
        <x:v>0</x:v>
      </x:c>
    </x:row>
    <x:row r="684">
      <x:c r="A684" s="25" t="str">
        <x:v>815</x:v>
      </x:c>
      <x:c r="B684" s="25" t="str">
        <x:v>Retenue CMU employé</x:v>
      </x:c>
      <x:c r="C684" s="25" t="str"/>
      <x:c r="D684" s="64" t="n">
        <x:f>Lot_paie!AD23</x:f>
        <x:v>0</x:v>
      </x:c>
      <x:c r="E684" s="64" t="str"/>
      <x:c r="F684" s="64" t="n">
        <x:f>Lot_paie!AD23</x:f>
        <x:v>0</x:v>
      </x:c>
      <x:c r="G684" s="66" t="str"/>
      <x:c r="H684" s="64" t="n">
        <x:f>Lot_paie!AL23</x:f>
        <x:v>0</x:v>
      </x:c>
    </x:row>
    <x:row r="685">
      <x:c r="A685" s="25" t="str">
        <x:v>860</x:v>
      </x:c>
      <x:c r="B685" s="25" t="str">
        <x:v>I.T.S</x:v>
      </x:c>
      <x:c r="C685" s="25" t="str"/>
      <x:c r="D685" s="64" t="n">
        <x:f>Lot_paie!AA23</x:f>
        <x:v>0</x:v>
      </x:c>
      <x:c r="E685" s="64" t="str"/>
      <x:c r="F685" s="64" t="n">
        <x:f>Lot_paie!AF23</x:f>
        <x:v>0</x:v>
      </x:c>
      <x:c r="G685" s="66" t="str"/>
      <x:c r="H685" s="64" t="str"/>
    </x:row>
    <x:row r="686">
      <x:c r="A686" s="25" t="str">
        <x:v>912</x:v>
      </x:c>
      <x:c r="B686" s="25" t="str">
        <x:v>Prestation Familiale</x:v>
      </x:c>
      <x:c r="C686" s="25" t="str"/>
      <x:c r="D686" s="64" t="n">
        <x:f>Parametres_Paie!$B$7</x:f>
        <x:v>75000</x:v>
      </x:c>
      <x:c r="E686" s="64" t="str"/>
      <x:c r="F686" s="64" t="str"/>
      <x:c r="G686" s="66" t="n">
        <x:f>Parametres_Paie!$B$8</x:f>
        <x:v>0.05</x:v>
      </x:c>
      <x:c r="H686" s="64" t="n">
        <x:f>Lot_paie!AI23</x:f>
        <x:v>0</x:v>
      </x:c>
    </x:row>
    <x:row r="687">
      <x:c r="A687" s="25" t="str">
        <x:v>913</x:v>
      </x:c>
      <x:c r="B687" s="25" t="str">
        <x:v>Accident de Travail</x:v>
      </x:c>
      <x:c r="C687" s="25" t="str"/>
      <x:c r="D687" s="64" t="n">
        <x:f>Parametres_Paie!$B$7</x:f>
        <x:v>75000</x:v>
      </x:c>
      <x:c r="E687" s="64" t="str"/>
      <x:c r="F687" s="64" t="str"/>
      <x:c r="G687" s="66" t="n">
        <x:f>Lot_paie!T23</x:f>
        <x:v>0.02</x:v>
      </x:c>
      <x:c r="H687" s="64" t="n">
        <x:f>Lot_paie!AJ23</x:f>
        <x:v>0</x:v>
      </x:c>
    </x:row>
    <x:row r="688">
      <x:c r="A688" s="25" t="str">
        <x:v>914</x:v>
      </x:c>
      <x:c r="B688" s="25" t="str">
        <x:v>Assurance Maternité</x:v>
      </x:c>
      <x:c r="C688" s="25" t="str"/>
      <x:c r="D688" s="64" t="n">
        <x:f>Parametres_Paie!$B$7</x:f>
        <x:v>75000</x:v>
      </x:c>
      <x:c r="E688" s="64" t="str"/>
      <x:c r="F688" s="64" t="str"/>
      <x:c r="G688" s="66" t="n">
        <x:f>Parametres_Paie!$B$9</x:f>
        <x:v>0.0075</x:v>
      </x:c>
      <x:c r="H688" s="64" t="n">
        <x:f>Lot_paie!AK23</x:f>
        <x:v>0</x:v>
      </x:c>
    </x:row>
    <x:row r="689">
      <x:c r="A689" s="25" t="str">
        <x:v>924</x:v>
      </x:c>
      <x:c r="B689" s="25" t="str">
        <x:v>I.S. Employeur Local</x:v>
      </x:c>
      <x:c r="C689" s="25" t="str"/>
      <x:c r="D689" s="64" t="n">
        <x:f>Lot_paie!AA23</x:f>
        <x:v>0</x:v>
      </x:c>
      <x:c r="E689" s="64" t="str"/>
      <x:c r="F689" s="64" t="str"/>
      <x:c r="G689" s="66" t="n">
        <x:f>Parametres_Paie!$B$15</x:f>
        <x:v>0.012</x:v>
      </x:c>
      <x:c r="H689" s="64" t="n">
        <x:f>Lot_paie!AM23</x:f>
        <x:v>0</x:v>
      </x:c>
    </x:row>
    <x:row r="690">
      <x:c r="A690" s="25" t="str">
        <x:v>930</x:v>
      </x:c>
      <x:c r="B690" s="25" t="str">
        <x:v>Taxe d’Apprentissage</x:v>
      </x:c>
      <x:c r="C690" s="25" t="str"/>
      <x:c r="D690" s="64" t="n">
        <x:f>Lot_paie!AA23</x:f>
        <x:v>0</x:v>
      </x:c>
      <x:c r="E690" s="64" t="str"/>
      <x:c r="F690" s="64" t="str"/>
      <x:c r="G690" s="66" t="n">
        <x:f>Parametres_Paie!$B$16</x:f>
        <x:v>0.004</x:v>
      </x:c>
      <x:c r="H690" s="64" t="n">
        <x:f>Lot_paie!AN23</x:f>
        <x:v>0</x:v>
      </x:c>
    </x:row>
    <x:row r="691">
      <x:c r="A691" s="25" t="str">
        <x:v>931</x:v>
      </x:c>
      <x:c r="B691" s="25" t="str">
        <x:v>Taxe Formation Professionnelle Continue</x:v>
      </x:c>
      <x:c r="C691" s="25" t="str"/>
      <x:c r="D691" s="64" t="n">
        <x:f>Lot_paie!AA23</x:f>
        <x:v>0</x:v>
      </x:c>
      <x:c r="E691" s="64" t="str"/>
      <x:c r="F691" s="64" t="str"/>
      <x:c r="G691" s="66" t="n">
        <x:f>Parametres_Paie!$B$17</x:f>
        <x:v>0.006</x:v>
      </x:c>
      <x:c r="H691" s="64" t="n">
        <x:f>Lot_paie!AO23</x:f>
        <x:v>0</x:v>
      </x:c>
    </x:row>
    <x:row r="692">
      <x:c r="A692" s="25" t="str">
        <x:v>932</x:v>
      </x:c>
      <x:c r="B692" s="25" t="str">
        <x:v>Taxe FPC Fin d’année</x:v>
      </x:c>
      <x:c r="C692" s="25" t="str"/>
      <x:c r="D692" s="64" t="n">
        <x:f>Lot_paie!AA23</x:f>
        <x:v>0</x:v>
      </x:c>
      <x:c r="E692" s="64" t="str"/>
      <x:c r="F692" s="64" t="str"/>
      <x:c r="G692" s="66" t="n">
        <x:f>Parametres_Paie!$B$18</x:f>
        <x:v>0.006</x:v>
      </x:c>
      <x:c r="H692" s="64" t="n">
        <x:f>Lot_paie!AP23</x:f>
        <x:v>0</x:v>
      </x:c>
    </x:row>
    <x:row r="693">
      <x:c r="A693" s="25" t="str"/>
      <x:c r="B693" s="83" t="str">
        <x:v>Total retenues fiscales et sociales</x:v>
      </x:c>
      <x:c r="C693" s="83" t="str"/>
      <x:c r="D693" s="84" t="str"/>
      <x:c r="E693" s="84" t="str"/>
      <x:c r="F693" s="84" t="n">
        <x:f>Lot_paie!AG23</x:f>
        <x:v>0</x:v>
      </x:c>
      <x:c r="G693" s="85" t="str"/>
      <x:c r="H693" s="84" t="n">
        <x:f>Lot_paie!AQ23</x:f>
        <x:v>0</x:v>
      </x:c>
    </x:row>
    <x:row r="694">
      <x:c r="A694" s="25" t="str">
        <x:v>204</x:v>
      </x:c>
      <x:c r="B694" s="25" t="str">
        <x:v>Indemnité Transport N. Imposable</x:v>
      </x:c>
      <x:c r="C694" s="25" t="str">
        <x:v>30</x:v>
      </x:c>
      <x:c r="D694" s="64" t="n">
        <x:f>Lot_paie!Y23</x:f>
        <x:v>0</x:v>
      </x:c>
      <x:c r="E694" s="64" t="str"/>
      <x:c r="F694" s="64" t="n">
        <x:f>Lot_paie!Y23</x:f>
        <x:v>0</x:v>
      </x:c>
      <x:c r="G694" s="66" t="str"/>
      <x:c r="H694" s="64" t="str"/>
    </x:row>
    <x:row r="695">
      <x:c r="A695" s="25" t="str"/>
      <x:c r="B695" s="25" t="str">
        <x:v>Total gains non imposables</x:v>
      </x:c>
      <x:c r="C695" s="25" t="str"/>
      <x:c r="D695" s="64" t="str"/>
      <x:c r="E695" s="64" t="str"/>
      <x:c r="F695" s="64" t="n">
        <x:f>Lot_paie!AR23</x:f>
        <x:v>0</x:v>
      </x:c>
      <x:c r="G695" s="66" t="str"/>
      <x:c r="H695" s="64" t="str"/>
    </x:row>
    <x:row r="696">
      <x:c r="A696" s="25" t="str"/>
      <x:c r="B696" s="110" t="str">
        <x:v>NET À PAYER</x:v>
      </x:c>
      <x:c r="C696" s="110" t="str"/>
      <x:c r="D696" s="111" t="str"/>
      <x:c r="E696" s="111" t="str"/>
      <x:c r="F696" s="111" t="str"/>
      <x:c r="G696" s="112" t="str"/>
      <x:c r="H696" s="111" t="n">
        <x:f>Lot_paie!AT23</x:f>
        <x:v>0</x:v>
      </x:c>
    </x:row>
    <x:row r="697">
      <x:c r="A697" s="25"/>
      <x:c r="B697" s="25"/>
      <x:c r="C697" s="25"/>
      <x:c r="D697" s="25"/>
      <x:c r="E697" s="25"/>
      <x:c r="F697" s="25"/>
      <x:c r="G697" s="25"/>
      <x:c r="H697" s="25"/>
    </x:row>
    <x:row r="698">
      <x:c r="A698" s="25"/>
      <x:c r="B698" s="25"/>
      <x:c r="C698" s="25"/>
      <x:c r="D698" s="25"/>
      <x:c r="E698" s="25"/>
      <x:c r="F698" s="25"/>
      <x:c r="G698" s="25"/>
      <x:c r="H698" s="25"/>
    </x:row>
    <x:row r="699">
      <x:c r="A699" s="25"/>
      <x:c r="B699" s="25"/>
      <x:c r="C699" s="25"/>
      <x:c r="D699" s="25"/>
      <x:c r="E699" s="25"/>
      <x:c r="F699" s="25"/>
      <x:c r="G699" s="25"/>
      <x:c r="H699" s="25"/>
    </x:row>
    <x:row r="700">
      <x:c r="A700" s="25"/>
      <x:c r="B700" s="25"/>
      <x:c r="C700" s="25"/>
      <x:c r="D700" s="25"/>
      <x:c r="E700" s="25"/>
      <x:c r="F700" s="25"/>
      <x:c r="G700" s="25"/>
      <x:c r="H700" s="25"/>
    </x:row>
    <x:row r="701">
      <x:c r="A701" s="25"/>
      <x:c r="B701" s="25"/>
      <x:c r="C701" s="25"/>
      <x:c r="D701" s="25"/>
      <x:c r="E701" s="25"/>
      <x:c r="F701" s="25"/>
      <x:c r="G701" s="25"/>
      <x:c r="H701" s="25"/>
    </x:row>
    <x:row r="702">
      <x:c r="A702" s="25"/>
      <x:c r="B702" s="25"/>
      <x:c r="C702" s="25"/>
      <x:c r="D702" s="25"/>
      <x:c r="E702" s="25"/>
      <x:c r="F702" s="25"/>
      <x:c r="G702" s="25"/>
      <x:c r="H702" s="25"/>
    </x:row>
    <x:row r="703">
      <x:c r="A703" s="25"/>
      <x:c r="B703" s="25"/>
      <x:c r="C703" s="25"/>
      <x:c r="D703" s="25"/>
      <x:c r="E703" s="25"/>
      <x:c r="F703" s="25"/>
      <x:c r="G703" s="25"/>
      <x:c r="H703" s="25"/>
    </x:row>
    <x:row r="705">
      <x:c r="A705" s="108" t="str">
        <x:v>BULLETIN DE PAIE – AAEA / AfWASA</x:v>
      </x:c>
      <x:c r="B705" s="108"/>
      <x:c r="C705" s="108"/>
      <x:c r="D705" s="108"/>
      <x:c r="E705" s="108"/>
      <x:c r="F705" s="108"/>
      <x:c r="G705" s="108"/>
      <x:c r="H705" s="108"/>
    </x:row>
    <x:row r="706">
      <x:c r="A706" s="25" t="str">
        <x:v>Matricule</x:v>
      </x:c>
      <x:c r="B706" s="25" t="str">
        <x:f>Lot_paie!A24</x:f>
        <x:v>0079M</x:v>
      </x:c>
      <x:c r="C706" s="25" t="str">
        <x:v>Période</x:v>
      </x:c>
      <x:c r="D706" s="25" t="str">
        <x:f>Parametres_Paie!$B$26</x:f>
        <x:v>Janvier 2025</x:v>
      </x:c>
      <x:c r="E706" s="25" t="str">
        <x:v>Paiement</x:v>
      </x:c>
      <x:c r="F706" s="25" t="n">
        <x:f>Parametres_Paie!$B$25</x:f>
        <x:v>45688</x:v>
      </x:c>
      <x:c r="G706" s="25" t="str"/>
      <x:c r="H706" s="25" t="str"/>
    </x:row>
    <x:row r="707">
      <x:c r="A707" s="25" t="str">
        <x:v>Nom et prénom</x:v>
      </x:c>
      <x:c r="B707" s="25" t="str">
        <x:f>Lot_paie!B24&amp;" "&amp;Lot_paie!C24</x:f>
        <x:v>GOULI Tanh Judicaël</x:v>
      </x:c>
      <x:c r="C707" s="25" t="str">
        <x:v>Poste</x:v>
      </x:c>
      <x:c r="D707" s="25" t="str">
        <x:f>Lot_paie!F24</x:f>
        <x:v>Assistant TIC</x:v>
      </x:c>
      <x:c r="E707" s="25" t="str">
        <x:v>CNPS</x:v>
      </x:c>
      <x:c r="F707" s="25" t="n">
        <x:f>Lot_paie!J24</x:f>
        <x:v>191011778898</x:v>
      </x:c>
      <x:c r="G707" s="25" t="str"/>
      <x:c r="H707" s="25" t="str"/>
    </x:row>
    <x:row r="708">
      <x:c r="A708" s="25" t="str">
        <x:v>Direction</x:v>
      </x:c>
      <x:c r="B708" s="25" t="str">
        <x:f>Lot_paie!D24</x:f>
        <x:v>Direction Administrative et Financière</x:v>
      </x:c>
      <x:c r="C708" s="25" t="str">
        <x:v>Date entrée</x:v>
      </x:c>
      <x:c r="D708" s="25" t="n">
        <x:f>Lot_paie!I24</x:f>
        <x:v>44628</x:v>
      </x:c>
      <x:c r="E708" s="25" t="str">
        <x:v>Ancienneté</x:v>
      </x:c>
      <x:c r="F708" s="25" t="str">
        <x:f>Lot_paie!V24</x:f>
        <x:v>2 ans (calcul période)</x:v>
      </x:c>
      <x:c r="G708" s="25" t="str"/>
      <x:c r="H708" s="25" t="str"/>
    </x:row>
    <x:row r="709">
      <x:c r="A709" s="25"/>
      <x:c r="B709" s="25"/>
      <x:c r="C709" s="25"/>
      <x:c r="D709" s="25"/>
      <x:c r="E709" s="25"/>
      <x:c r="F709" s="25"/>
      <x:c r="G709" s="25"/>
      <x:c r="H709" s="25"/>
    </x:row>
    <x:row r="710">
      <x:c r="A710" s="14" t="str">
        <x:v>N°</x:v>
      </x:c>
      <x:c r="B710" s="14" t="str">
        <x:v>Désignation</x:v>
      </x:c>
      <x:c r="C710" s="14" t="str">
        <x:v>Nombre</x:v>
      </x:c>
      <x:c r="D710" s="14" t="str">
        <x:v>Base</x:v>
      </x:c>
      <x:c r="E710" s="14" t="str">
        <x:v>Taux Sal.</x:v>
      </x:c>
      <x:c r="F710" s="14" t="str">
        <x:v>Ret. Sal.</x:v>
      </x:c>
      <x:c r="G710" s="14" t="str">
        <x:v>Taux Pat.</x:v>
      </x:c>
      <x:c r="H710" s="14" t="str">
        <x:v>Ret. Pat.</x:v>
      </x:c>
    </x:row>
    <x:row r="711">
      <x:c r="A711" s="25" t="str">
        <x:v>100</x:v>
      </x:c>
      <x:c r="B711" s="25" t="str">
        <x:v>Salaire de base</x:v>
      </x:c>
      <x:c r="C711" s="25" t="str">
        <x:v>30</x:v>
      </x:c>
      <x:c r="D711" s="64" t="n">
        <x:f>Lot_paie!K24</x:f>
        <x:v>0</x:v>
      </x:c>
      <x:c r="E711" s="64" t="str"/>
      <x:c r="F711" s="64" t="str"/>
      <x:c r="G711" s="64" t="str"/>
      <x:c r="H711" s="64" t="str"/>
    </x:row>
    <x:row r="712">
      <x:c r="A712" s="25" t="str">
        <x:v>110</x:v>
      </x:c>
      <x:c r="B712" s="25" t="str">
        <x:v>Sursalaire</x:v>
      </x:c>
      <x:c r="C712" s="25" t="str">
        <x:v>30</x:v>
      </x:c>
      <x:c r="D712" s="64" t="n">
        <x:f>Lot_paie!L24</x:f>
        <x:v>0</x:v>
      </x:c>
      <x:c r="E712" s="64" t="str"/>
      <x:c r="F712" s="64" t="str"/>
      <x:c r="G712" s="64" t="str"/>
      <x:c r="H712" s="64" t="str"/>
    </x:row>
    <x:row r="713">
      <x:c r="A713" s="25" t="str">
        <x:v>120</x:v>
      </x:c>
      <x:c r="B713" s="25" t="str">
        <x:v>Prime ancienneté</x:v>
      </x:c>
      <x:c r="C713" s="25" t="n">
        <x:f>Lot_paie!U24</x:f>
        <x:v>2</x:v>
      </x:c>
      <x:c r="D713" s="64" t="n">
        <x:f>Lot_paie!X24</x:f>
        <x:v>0</x:v>
      </x:c>
      <x:c r="E713" s="64" t="str"/>
      <x:c r="F713" s="64" t="str"/>
      <x:c r="G713" s="64" t="str"/>
      <x:c r="H713" s="64" t="str"/>
    </x:row>
    <x:row r="714">
      <x:c r="A714" s="25" t="str"/>
      <x:c r="B714" s="24" t="str">
        <x:v>Total brut imposable</x:v>
      </x:c>
      <x:c r="C714" s="24" t="str"/>
      <x:c r="D714" s="76" t="str"/>
      <x:c r="E714" s="76" t="str"/>
      <x:c r="F714" s="76" t="n">
        <x:f>Lot_paie!AA24</x:f>
        <x:v>0</x:v>
      </x:c>
      <x:c r="G714" s="76" t="str"/>
      <x:c r="H714" s="76" t="str"/>
    </x:row>
    <x:row r="715">
      <x:c r="A715" s="25" t="str">
        <x:v>810</x:v>
      </x:c>
      <x:c r="B715" s="25" t="str">
        <x:v>C.N.P.S.</x:v>
      </x:c>
      <x:c r="C715" s="25" t="str"/>
      <x:c r="D715" s="64" t="n">
        <x:f>Lot_paie!AB24</x:f>
        <x:v>0</x:v>
      </x:c>
      <x:c r="E715" s="66" t="n">
        <x:f>Parametres_Paie!$B$4</x:f>
        <x:v>0.063</x:v>
      </x:c>
      <x:c r="F715" s="64" t="n">
        <x:f>Lot_paie!AC24</x:f>
        <x:v>0</x:v>
      </x:c>
      <x:c r="G715" s="66" t="n">
        <x:f>Parametres_Paie!$B$5</x:f>
        <x:v>0.077</x:v>
      </x:c>
      <x:c r="H715" s="64" t="n">
        <x:f>Lot_paie!AH24</x:f>
        <x:v>0</x:v>
      </x:c>
    </x:row>
    <x:row r="716">
      <x:c r="A716" s="25" t="str">
        <x:v>815</x:v>
      </x:c>
      <x:c r="B716" s="25" t="str">
        <x:v>Retenue CMU employé</x:v>
      </x:c>
      <x:c r="C716" s="25" t="str"/>
      <x:c r="D716" s="64" t="n">
        <x:f>Lot_paie!AD24</x:f>
        <x:v>0</x:v>
      </x:c>
      <x:c r="E716" s="64" t="str"/>
      <x:c r="F716" s="64" t="n">
        <x:f>Lot_paie!AD24</x:f>
        <x:v>0</x:v>
      </x:c>
      <x:c r="G716" s="66" t="str"/>
      <x:c r="H716" s="64" t="n">
        <x:f>Lot_paie!AL24</x:f>
        <x:v>0</x:v>
      </x:c>
    </x:row>
    <x:row r="717">
      <x:c r="A717" s="25" t="str">
        <x:v>860</x:v>
      </x:c>
      <x:c r="B717" s="25" t="str">
        <x:v>I.T.S</x:v>
      </x:c>
      <x:c r="C717" s="25" t="str"/>
      <x:c r="D717" s="64" t="n">
        <x:f>Lot_paie!AA24</x:f>
        <x:v>0</x:v>
      </x:c>
      <x:c r="E717" s="64" t="str"/>
      <x:c r="F717" s="64" t="n">
        <x:f>Lot_paie!AF24</x:f>
        <x:v>0</x:v>
      </x:c>
      <x:c r="G717" s="66" t="str"/>
      <x:c r="H717" s="64" t="str"/>
    </x:row>
    <x:row r="718">
      <x:c r="A718" s="25" t="str">
        <x:v>912</x:v>
      </x:c>
      <x:c r="B718" s="25" t="str">
        <x:v>Prestation Familiale</x:v>
      </x:c>
      <x:c r="C718" s="25" t="str"/>
      <x:c r="D718" s="64" t="n">
        <x:f>Parametres_Paie!$B$7</x:f>
        <x:v>75000</x:v>
      </x:c>
      <x:c r="E718" s="64" t="str"/>
      <x:c r="F718" s="64" t="str"/>
      <x:c r="G718" s="66" t="n">
        <x:f>Parametres_Paie!$B$8</x:f>
        <x:v>0.05</x:v>
      </x:c>
      <x:c r="H718" s="64" t="n">
        <x:f>Lot_paie!AI24</x:f>
        <x:v>0</x:v>
      </x:c>
    </x:row>
    <x:row r="719">
      <x:c r="A719" s="25" t="str">
        <x:v>913</x:v>
      </x:c>
      <x:c r="B719" s="25" t="str">
        <x:v>Accident de Travail</x:v>
      </x:c>
      <x:c r="C719" s="25" t="str"/>
      <x:c r="D719" s="64" t="n">
        <x:f>Parametres_Paie!$B$7</x:f>
        <x:v>75000</x:v>
      </x:c>
      <x:c r="E719" s="64" t="str"/>
      <x:c r="F719" s="64" t="str"/>
      <x:c r="G719" s="66" t="n">
        <x:f>Lot_paie!T24</x:f>
        <x:v>0.02</x:v>
      </x:c>
      <x:c r="H719" s="64" t="n">
        <x:f>Lot_paie!AJ24</x:f>
        <x:v>0</x:v>
      </x:c>
    </x:row>
    <x:row r="720">
      <x:c r="A720" s="25" t="str">
        <x:v>914</x:v>
      </x:c>
      <x:c r="B720" s="25" t="str">
        <x:v>Assurance Maternité</x:v>
      </x:c>
      <x:c r="C720" s="25" t="str"/>
      <x:c r="D720" s="64" t="n">
        <x:f>Parametres_Paie!$B$7</x:f>
        <x:v>75000</x:v>
      </x:c>
      <x:c r="E720" s="64" t="str"/>
      <x:c r="F720" s="64" t="str"/>
      <x:c r="G720" s="66" t="n">
        <x:f>Parametres_Paie!$B$9</x:f>
        <x:v>0.0075</x:v>
      </x:c>
      <x:c r="H720" s="64" t="n">
        <x:f>Lot_paie!AK24</x:f>
        <x:v>0</x:v>
      </x:c>
    </x:row>
    <x:row r="721">
      <x:c r="A721" s="25" t="str">
        <x:v>924</x:v>
      </x:c>
      <x:c r="B721" s="25" t="str">
        <x:v>I.S. Employeur Local</x:v>
      </x:c>
      <x:c r="C721" s="25" t="str"/>
      <x:c r="D721" s="64" t="n">
        <x:f>Lot_paie!AA24</x:f>
        <x:v>0</x:v>
      </x:c>
      <x:c r="E721" s="64" t="str"/>
      <x:c r="F721" s="64" t="str"/>
      <x:c r="G721" s="66" t="n">
        <x:f>Parametres_Paie!$B$15</x:f>
        <x:v>0.012</x:v>
      </x:c>
      <x:c r="H721" s="64" t="n">
        <x:f>Lot_paie!AM24</x:f>
        <x:v>0</x:v>
      </x:c>
    </x:row>
    <x:row r="722">
      <x:c r="A722" s="25" t="str">
        <x:v>930</x:v>
      </x:c>
      <x:c r="B722" s="25" t="str">
        <x:v>Taxe d’Apprentissage</x:v>
      </x:c>
      <x:c r="C722" s="25" t="str"/>
      <x:c r="D722" s="64" t="n">
        <x:f>Lot_paie!AA24</x:f>
        <x:v>0</x:v>
      </x:c>
      <x:c r="E722" s="64" t="str"/>
      <x:c r="F722" s="64" t="str"/>
      <x:c r="G722" s="66" t="n">
        <x:f>Parametres_Paie!$B$16</x:f>
        <x:v>0.004</x:v>
      </x:c>
      <x:c r="H722" s="64" t="n">
        <x:f>Lot_paie!AN24</x:f>
        <x:v>0</x:v>
      </x:c>
    </x:row>
    <x:row r="723">
      <x:c r="A723" s="25" t="str">
        <x:v>931</x:v>
      </x:c>
      <x:c r="B723" s="25" t="str">
        <x:v>Taxe Formation Professionnelle Continue</x:v>
      </x:c>
      <x:c r="C723" s="25" t="str"/>
      <x:c r="D723" s="64" t="n">
        <x:f>Lot_paie!AA24</x:f>
        <x:v>0</x:v>
      </x:c>
      <x:c r="E723" s="64" t="str"/>
      <x:c r="F723" s="64" t="str"/>
      <x:c r="G723" s="66" t="n">
        <x:f>Parametres_Paie!$B$17</x:f>
        <x:v>0.006</x:v>
      </x:c>
      <x:c r="H723" s="64" t="n">
        <x:f>Lot_paie!AO24</x:f>
        <x:v>0</x:v>
      </x:c>
    </x:row>
    <x:row r="724">
      <x:c r="A724" s="25" t="str">
        <x:v>932</x:v>
      </x:c>
      <x:c r="B724" s="25" t="str">
        <x:v>Taxe FPC Fin d’année</x:v>
      </x:c>
      <x:c r="C724" s="25" t="str"/>
      <x:c r="D724" s="64" t="n">
        <x:f>Lot_paie!AA24</x:f>
        <x:v>0</x:v>
      </x:c>
      <x:c r="E724" s="64" t="str"/>
      <x:c r="F724" s="64" t="str"/>
      <x:c r="G724" s="66" t="n">
        <x:f>Parametres_Paie!$B$18</x:f>
        <x:v>0.006</x:v>
      </x:c>
      <x:c r="H724" s="64" t="n">
        <x:f>Lot_paie!AP24</x:f>
        <x:v>0</x:v>
      </x:c>
    </x:row>
    <x:row r="725">
      <x:c r="A725" s="25" t="str"/>
      <x:c r="B725" s="83" t="str">
        <x:v>Total retenues fiscales et sociales</x:v>
      </x:c>
      <x:c r="C725" s="83" t="str"/>
      <x:c r="D725" s="84" t="str"/>
      <x:c r="E725" s="84" t="str"/>
      <x:c r="F725" s="84" t="n">
        <x:f>Lot_paie!AG24</x:f>
        <x:v>0</x:v>
      </x:c>
      <x:c r="G725" s="85" t="str"/>
      <x:c r="H725" s="84" t="n">
        <x:f>Lot_paie!AQ24</x:f>
        <x:v>0</x:v>
      </x:c>
    </x:row>
    <x:row r="726">
      <x:c r="A726" s="25" t="str">
        <x:v>204</x:v>
      </x:c>
      <x:c r="B726" s="25" t="str">
        <x:v>Indemnité Transport N. Imposable</x:v>
      </x:c>
      <x:c r="C726" s="25" t="str">
        <x:v>30</x:v>
      </x:c>
      <x:c r="D726" s="64" t="n">
        <x:f>Lot_paie!Y24</x:f>
        <x:v>0</x:v>
      </x:c>
      <x:c r="E726" s="64" t="str"/>
      <x:c r="F726" s="64" t="n">
        <x:f>Lot_paie!Y24</x:f>
        <x:v>0</x:v>
      </x:c>
      <x:c r="G726" s="66" t="str"/>
      <x:c r="H726" s="64" t="str"/>
    </x:row>
    <x:row r="727">
      <x:c r="A727" s="25" t="str"/>
      <x:c r="B727" s="25" t="str">
        <x:v>Total gains non imposables</x:v>
      </x:c>
      <x:c r="C727" s="25" t="str"/>
      <x:c r="D727" s="64" t="str"/>
      <x:c r="E727" s="64" t="str"/>
      <x:c r="F727" s="64" t="n">
        <x:f>Lot_paie!AR24</x:f>
        <x:v>0</x:v>
      </x:c>
      <x:c r="G727" s="66" t="str"/>
      <x:c r="H727" s="64" t="str"/>
    </x:row>
    <x:row r="728">
      <x:c r="A728" s="25" t="str"/>
      <x:c r="B728" s="110" t="str">
        <x:v>NET À PAYER</x:v>
      </x:c>
      <x:c r="C728" s="110" t="str"/>
      <x:c r="D728" s="111" t="str"/>
      <x:c r="E728" s="111" t="str"/>
      <x:c r="F728" s="111" t="str"/>
      <x:c r="G728" s="112" t="str"/>
      <x:c r="H728" s="111" t="n">
        <x:f>Lot_paie!AT24</x:f>
        <x:v>0</x:v>
      </x:c>
    </x:row>
    <x:row r="729">
      <x:c r="A729" s="25"/>
      <x:c r="B729" s="25"/>
      <x:c r="C729" s="25"/>
      <x:c r="D729" s="25"/>
      <x:c r="E729" s="25"/>
      <x:c r="F729" s="25"/>
      <x:c r="G729" s="25"/>
      <x:c r="H729" s="25"/>
    </x:row>
    <x:row r="730">
      <x:c r="A730" s="25"/>
      <x:c r="B730" s="25"/>
      <x:c r="C730" s="25"/>
      <x:c r="D730" s="25"/>
      <x:c r="E730" s="25"/>
      <x:c r="F730" s="25"/>
      <x:c r="G730" s="25"/>
      <x:c r="H730" s="25"/>
    </x:row>
    <x:row r="731">
      <x:c r="A731" s="25"/>
      <x:c r="B731" s="25"/>
      <x:c r="C731" s="25"/>
      <x:c r="D731" s="25"/>
      <x:c r="E731" s="25"/>
      <x:c r="F731" s="25"/>
      <x:c r="G731" s="25"/>
      <x:c r="H731" s="25"/>
    </x:row>
    <x:row r="732">
      <x:c r="A732" s="25"/>
      <x:c r="B732" s="25"/>
      <x:c r="C732" s="25"/>
      <x:c r="D732" s="25"/>
      <x:c r="E732" s="25"/>
      <x:c r="F732" s="25"/>
      <x:c r="G732" s="25"/>
      <x:c r="H732" s="25"/>
    </x:row>
    <x:row r="733">
      <x:c r="A733" s="25"/>
      <x:c r="B733" s="25"/>
      <x:c r="C733" s="25"/>
      <x:c r="D733" s="25"/>
      <x:c r="E733" s="25"/>
      <x:c r="F733" s="25"/>
      <x:c r="G733" s="25"/>
      <x:c r="H733" s="25"/>
    </x:row>
    <x:row r="734">
      <x:c r="A734" s="25"/>
      <x:c r="B734" s="25"/>
      <x:c r="C734" s="25"/>
      <x:c r="D734" s="25"/>
      <x:c r="E734" s="25"/>
      <x:c r="F734" s="25"/>
      <x:c r="G734" s="25"/>
      <x:c r="H734" s="25"/>
    </x:row>
    <x:row r="735">
      <x:c r="A735" s="25"/>
      <x:c r="B735" s="25"/>
      <x:c r="C735" s="25"/>
      <x:c r="D735" s="25"/>
      <x:c r="E735" s="25"/>
      <x:c r="F735" s="25"/>
      <x:c r="G735" s="25"/>
      <x:c r="H735" s="25"/>
    </x:row>
    <x:row r="737">
      <x:c r="A737" s="108" t="str">
        <x:v>BULLETIN DE PAIE – AAEA / AfWASA</x:v>
      </x:c>
      <x:c r="B737" s="108"/>
      <x:c r="C737" s="108"/>
      <x:c r="D737" s="108"/>
      <x:c r="E737" s="108"/>
      <x:c r="F737" s="108"/>
      <x:c r="G737" s="108"/>
      <x:c r="H737" s="108"/>
    </x:row>
    <x:row r="738">
      <x:c r="A738" s="25" t="str">
        <x:v>Matricule</x:v>
      </x:c>
      <x:c r="B738" s="25" t="str">
        <x:f>Lot_paie!A25</x:f>
        <x:v>0081A</x:v>
      </x:c>
      <x:c r="C738" s="25" t="str">
        <x:v>Période</x:v>
      </x:c>
      <x:c r="D738" s="25" t="str">
        <x:f>Parametres_Paie!$B$26</x:f>
        <x:v>Janvier 2025</x:v>
      </x:c>
      <x:c r="E738" s="25" t="str">
        <x:v>Paiement</x:v>
      </x:c>
      <x:c r="F738" s="25" t="n">
        <x:f>Parametres_Paie!$B$25</x:f>
        <x:v>45688</x:v>
      </x:c>
      <x:c r="G738" s="25" t="str"/>
      <x:c r="H738" s="25" t="str"/>
    </x:row>
    <x:row r="739">
      <x:c r="A739" s="25" t="str">
        <x:v>Nom et prénom</x:v>
      </x:c>
      <x:c r="B739" s="25" t="str">
        <x:f>Lot_paie!B25&amp;" "&amp;Lot_paie!C25</x:f>
        <x:v>SECK Moussa</x:v>
      </x:c>
      <x:c r="C739" s="25" t="str">
        <x:v>Poste</x:v>
      </x:c>
      <x:c r="D739" s="25" t="str">
        <x:f>Lot_paie!F25</x:f>
        <x:v>Directeur des Services aux Membres</x:v>
      </x:c>
      <x:c r="E739" s="25" t="str">
        <x:v>CNPS</x:v>
      </x:c>
      <x:c r="F739" s="25" t="n">
        <x:f>Lot_paie!J25</x:f>
        <x:v>202200074906</x:v>
      </x:c>
      <x:c r="G739" s="25" t="str"/>
      <x:c r="H739" s="25" t="str"/>
    </x:row>
    <x:row r="740">
      <x:c r="A740" s="25" t="str">
        <x:v>Direction</x:v>
      </x:c>
      <x:c r="B740" s="25" t="str">
        <x:f>Lot_paie!D25</x:f>
        <x:v>Direction des Services aux Membres et des Programmes</x:v>
      </x:c>
      <x:c r="C740" s="25" t="str">
        <x:v>Date entrée</x:v>
      </x:c>
      <x:c r="D740" s="25" t="n">
        <x:f>Lot_paie!I25</x:f>
        <x:v>44774</x:v>
      </x:c>
      <x:c r="E740" s="25" t="str">
        <x:v>Ancienneté</x:v>
      </x:c>
      <x:c r="F740" s="25" t="str">
        <x:f>Lot_paie!V25</x:f>
        <x:v>2 ans (calcul période)</x:v>
      </x:c>
      <x:c r="G740" s="25" t="str"/>
      <x:c r="H740" s="25" t="str"/>
    </x:row>
    <x:row r="741">
      <x:c r="A741" s="25"/>
      <x:c r="B741" s="25"/>
      <x:c r="C741" s="25"/>
      <x:c r="D741" s="25"/>
      <x:c r="E741" s="25"/>
      <x:c r="F741" s="25"/>
      <x:c r="G741" s="25"/>
      <x:c r="H741" s="25"/>
    </x:row>
    <x:row r="742">
      <x:c r="A742" s="14" t="str">
        <x:v>N°</x:v>
      </x:c>
      <x:c r="B742" s="14" t="str">
        <x:v>Désignation</x:v>
      </x:c>
      <x:c r="C742" s="14" t="str">
        <x:v>Nombre</x:v>
      </x:c>
      <x:c r="D742" s="14" t="str">
        <x:v>Base</x:v>
      </x:c>
      <x:c r="E742" s="14" t="str">
        <x:v>Taux Sal.</x:v>
      </x:c>
      <x:c r="F742" s="14" t="str">
        <x:v>Ret. Sal.</x:v>
      </x:c>
      <x:c r="G742" s="14" t="str">
        <x:v>Taux Pat.</x:v>
      </x:c>
      <x:c r="H742" s="14" t="str">
        <x:v>Ret. Pat.</x:v>
      </x:c>
    </x:row>
    <x:row r="743">
      <x:c r="A743" s="25" t="str">
        <x:v>100</x:v>
      </x:c>
      <x:c r="B743" s="25" t="str">
        <x:v>Salaire de base</x:v>
      </x:c>
      <x:c r="C743" s="25" t="str">
        <x:v>30</x:v>
      </x:c>
      <x:c r="D743" s="64" t="n">
        <x:f>Lot_paie!K25</x:f>
        <x:v>0</x:v>
      </x:c>
      <x:c r="E743" s="64" t="str"/>
      <x:c r="F743" s="64" t="str"/>
      <x:c r="G743" s="64" t="str"/>
      <x:c r="H743" s="64" t="str"/>
    </x:row>
    <x:row r="744">
      <x:c r="A744" s="25" t="str">
        <x:v>110</x:v>
      </x:c>
      <x:c r="B744" s="25" t="str">
        <x:v>Sursalaire</x:v>
      </x:c>
      <x:c r="C744" s="25" t="str">
        <x:v>30</x:v>
      </x:c>
      <x:c r="D744" s="64" t="n">
        <x:f>Lot_paie!L25</x:f>
        <x:v>0</x:v>
      </x:c>
      <x:c r="E744" s="64" t="str"/>
      <x:c r="F744" s="64" t="str"/>
      <x:c r="G744" s="64" t="str"/>
      <x:c r="H744" s="64" t="str"/>
    </x:row>
    <x:row r="745">
      <x:c r="A745" s="25" t="str">
        <x:v>120</x:v>
      </x:c>
      <x:c r="B745" s="25" t="str">
        <x:v>Prime ancienneté</x:v>
      </x:c>
      <x:c r="C745" s="25" t="n">
        <x:f>Lot_paie!U25</x:f>
        <x:v>2</x:v>
      </x:c>
      <x:c r="D745" s="64" t="n">
        <x:f>Lot_paie!X25</x:f>
        <x:v>0</x:v>
      </x:c>
      <x:c r="E745" s="64" t="str"/>
      <x:c r="F745" s="64" t="str"/>
      <x:c r="G745" s="64" t="str"/>
      <x:c r="H745" s="64" t="str"/>
    </x:row>
    <x:row r="746">
      <x:c r="A746" s="25" t="str"/>
      <x:c r="B746" s="24" t="str">
        <x:v>Total brut imposable</x:v>
      </x:c>
      <x:c r="C746" s="24" t="str"/>
      <x:c r="D746" s="76" t="str"/>
      <x:c r="E746" s="76" t="str"/>
      <x:c r="F746" s="76" t="n">
        <x:f>Lot_paie!AA25</x:f>
        <x:v>0</x:v>
      </x:c>
      <x:c r="G746" s="76" t="str"/>
      <x:c r="H746" s="76" t="str"/>
    </x:row>
    <x:row r="747">
      <x:c r="A747" s="25" t="str">
        <x:v>810</x:v>
      </x:c>
      <x:c r="B747" s="25" t="str">
        <x:v>C.N.P.S.</x:v>
      </x:c>
      <x:c r="C747" s="25" t="str"/>
      <x:c r="D747" s="64" t="n">
        <x:f>Lot_paie!AB25</x:f>
        <x:v>0</x:v>
      </x:c>
      <x:c r="E747" s="66" t="n">
        <x:f>Parametres_Paie!$B$4</x:f>
        <x:v>0.063</x:v>
      </x:c>
      <x:c r="F747" s="64" t="n">
        <x:f>Lot_paie!AC25</x:f>
        <x:v>0</x:v>
      </x:c>
      <x:c r="G747" s="66" t="n">
        <x:f>Parametres_Paie!$B$5</x:f>
        <x:v>0.077</x:v>
      </x:c>
      <x:c r="H747" s="64" t="n">
        <x:f>Lot_paie!AH25</x:f>
        <x:v>0</x:v>
      </x:c>
    </x:row>
    <x:row r="748">
      <x:c r="A748" s="25" t="str">
        <x:v>815</x:v>
      </x:c>
      <x:c r="B748" s="25" t="str">
        <x:v>Retenue CMU employé</x:v>
      </x:c>
      <x:c r="C748" s="25" t="str"/>
      <x:c r="D748" s="64" t="n">
        <x:f>Lot_paie!AD25</x:f>
        <x:v>0</x:v>
      </x:c>
      <x:c r="E748" s="64" t="str"/>
      <x:c r="F748" s="64" t="n">
        <x:f>Lot_paie!AD25</x:f>
        <x:v>0</x:v>
      </x:c>
      <x:c r="G748" s="66" t="str"/>
      <x:c r="H748" s="64" t="n">
        <x:f>Lot_paie!AL25</x:f>
        <x:v>0</x:v>
      </x:c>
    </x:row>
    <x:row r="749">
      <x:c r="A749" s="25" t="str">
        <x:v>860</x:v>
      </x:c>
      <x:c r="B749" s="25" t="str">
        <x:v>I.T.S</x:v>
      </x:c>
      <x:c r="C749" s="25" t="str"/>
      <x:c r="D749" s="64" t="n">
        <x:f>Lot_paie!AA25</x:f>
        <x:v>0</x:v>
      </x:c>
      <x:c r="E749" s="64" t="str"/>
      <x:c r="F749" s="64" t="n">
        <x:f>Lot_paie!AF25</x:f>
        <x:v>0</x:v>
      </x:c>
      <x:c r="G749" s="66" t="str"/>
      <x:c r="H749" s="64" t="str"/>
    </x:row>
    <x:row r="750">
      <x:c r="A750" s="25" t="str">
        <x:v>912</x:v>
      </x:c>
      <x:c r="B750" s="25" t="str">
        <x:v>Prestation Familiale</x:v>
      </x:c>
      <x:c r="C750" s="25" t="str"/>
      <x:c r="D750" s="64" t="n">
        <x:f>Parametres_Paie!$B$7</x:f>
        <x:v>75000</x:v>
      </x:c>
      <x:c r="E750" s="64" t="str"/>
      <x:c r="F750" s="64" t="str"/>
      <x:c r="G750" s="66" t="n">
        <x:f>Parametres_Paie!$B$8</x:f>
        <x:v>0.05</x:v>
      </x:c>
      <x:c r="H750" s="64" t="n">
        <x:f>Lot_paie!AI25</x:f>
        <x:v>0</x:v>
      </x:c>
    </x:row>
    <x:row r="751">
      <x:c r="A751" s="25" t="str">
        <x:v>913</x:v>
      </x:c>
      <x:c r="B751" s="25" t="str">
        <x:v>Accident de Travail</x:v>
      </x:c>
      <x:c r="C751" s="25" t="str"/>
      <x:c r="D751" s="64" t="n">
        <x:f>Parametres_Paie!$B$7</x:f>
        <x:v>75000</x:v>
      </x:c>
      <x:c r="E751" s="64" t="str"/>
      <x:c r="F751" s="64" t="str"/>
      <x:c r="G751" s="66" t="n">
        <x:f>Lot_paie!T25</x:f>
        <x:v>0.02</x:v>
      </x:c>
      <x:c r="H751" s="64" t="n">
        <x:f>Lot_paie!AJ25</x:f>
        <x:v>0</x:v>
      </x:c>
    </x:row>
    <x:row r="752">
      <x:c r="A752" s="25" t="str">
        <x:v>914</x:v>
      </x:c>
      <x:c r="B752" s="25" t="str">
        <x:v>Assurance Maternité</x:v>
      </x:c>
      <x:c r="C752" s="25" t="str"/>
      <x:c r="D752" s="64" t="n">
        <x:f>Parametres_Paie!$B$7</x:f>
        <x:v>75000</x:v>
      </x:c>
      <x:c r="E752" s="64" t="str"/>
      <x:c r="F752" s="64" t="str"/>
      <x:c r="G752" s="66" t="n">
        <x:f>Parametres_Paie!$B$9</x:f>
        <x:v>0.0075</x:v>
      </x:c>
      <x:c r="H752" s="64" t="n">
        <x:f>Lot_paie!AK25</x:f>
        <x:v>0</x:v>
      </x:c>
    </x:row>
    <x:row r="753">
      <x:c r="A753" s="25" t="str">
        <x:v>924</x:v>
      </x:c>
      <x:c r="B753" s="25" t="str">
        <x:v>I.S. Employeur Local</x:v>
      </x:c>
      <x:c r="C753" s="25" t="str"/>
      <x:c r="D753" s="64" t="n">
        <x:f>Lot_paie!AA25</x:f>
        <x:v>0</x:v>
      </x:c>
      <x:c r="E753" s="64" t="str"/>
      <x:c r="F753" s="64" t="str"/>
      <x:c r="G753" s="66" t="n">
        <x:f>Parametres_Paie!$B$15</x:f>
        <x:v>0.012</x:v>
      </x:c>
      <x:c r="H753" s="64" t="n">
        <x:f>Lot_paie!AM25</x:f>
        <x:v>0</x:v>
      </x:c>
    </x:row>
    <x:row r="754">
      <x:c r="A754" s="25" t="str">
        <x:v>930</x:v>
      </x:c>
      <x:c r="B754" s="25" t="str">
        <x:v>Taxe d’Apprentissage</x:v>
      </x:c>
      <x:c r="C754" s="25" t="str"/>
      <x:c r="D754" s="64" t="n">
        <x:f>Lot_paie!AA25</x:f>
        <x:v>0</x:v>
      </x:c>
      <x:c r="E754" s="64" t="str"/>
      <x:c r="F754" s="64" t="str"/>
      <x:c r="G754" s="66" t="n">
        <x:f>Parametres_Paie!$B$16</x:f>
        <x:v>0.004</x:v>
      </x:c>
      <x:c r="H754" s="64" t="n">
        <x:f>Lot_paie!AN25</x:f>
        <x:v>0</x:v>
      </x:c>
    </x:row>
    <x:row r="755">
      <x:c r="A755" s="25" t="str">
        <x:v>931</x:v>
      </x:c>
      <x:c r="B755" s="25" t="str">
        <x:v>Taxe Formation Professionnelle Continue</x:v>
      </x:c>
      <x:c r="C755" s="25" t="str"/>
      <x:c r="D755" s="64" t="n">
        <x:f>Lot_paie!AA25</x:f>
        <x:v>0</x:v>
      </x:c>
      <x:c r="E755" s="64" t="str"/>
      <x:c r="F755" s="64" t="str"/>
      <x:c r="G755" s="66" t="n">
        <x:f>Parametres_Paie!$B$17</x:f>
        <x:v>0.006</x:v>
      </x:c>
      <x:c r="H755" s="64" t="n">
        <x:f>Lot_paie!AO25</x:f>
        <x:v>0</x:v>
      </x:c>
    </x:row>
    <x:row r="756">
      <x:c r="A756" s="25" t="str">
        <x:v>932</x:v>
      </x:c>
      <x:c r="B756" s="25" t="str">
        <x:v>Taxe FPC Fin d’année</x:v>
      </x:c>
      <x:c r="C756" s="25" t="str"/>
      <x:c r="D756" s="64" t="n">
        <x:f>Lot_paie!AA25</x:f>
        <x:v>0</x:v>
      </x:c>
      <x:c r="E756" s="64" t="str"/>
      <x:c r="F756" s="64" t="str"/>
      <x:c r="G756" s="66" t="n">
        <x:f>Parametres_Paie!$B$18</x:f>
        <x:v>0.006</x:v>
      </x:c>
      <x:c r="H756" s="64" t="n">
        <x:f>Lot_paie!AP25</x:f>
        <x:v>0</x:v>
      </x:c>
    </x:row>
    <x:row r="757">
      <x:c r="A757" s="25" t="str"/>
      <x:c r="B757" s="83" t="str">
        <x:v>Total retenues fiscales et sociales</x:v>
      </x:c>
      <x:c r="C757" s="83" t="str"/>
      <x:c r="D757" s="84" t="str"/>
      <x:c r="E757" s="84" t="str"/>
      <x:c r="F757" s="84" t="n">
        <x:f>Lot_paie!AG25</x:f>
        <x:v>0</x:v>
      </x:c>
      <x:c r="G757" s="85" t="str"/>
      <x:c r="H757" s="84" t="n">
        <x:f>Lot_paie!AQ25</x:f>
        <x:v>0</x:v>
      </x:c>
    </x:row>
    <x:row r="758">
      <x:c r="A758" s="25" t="str">
        <x:v>204</x:v>
      </x:c>
      <x:c r="B758" s="25" t="str">
        <x:v>Indemnité Transport N. Imposable</x:v>
      </x:c>
      <x:c r="C758" s="25" t="str">
        <x:v>30</x:v>
      </x:c>
      <x:c r="D758" s="64" t="n">
        <x:f>Lot_paie!Y25</x:f>
        <x:v>0</x:v>
      </x:c>
      <x:c r="E758" s="64" t="str"/>
      <x:c r="F758" s="64" t="n">
        <x:f>Lot_paie!Y25</x:f>
        <x:v>0</x:v>
      </x:c>
      <x:c r="G758" s="66" t="str"/>
      <x:c r="H758" s="64" t="str"/>
    </x:row>
    <x:row r="759">
      <x:c r="A759" s="25" t="str"/>
      <x:c r="B759" s="25" t="str">
        <x:v>Total gains non imposables</x:v>
      </x:c>
      <x:c r="C759" s="25" t="str"/>
      <x:c r="D759" s="64" t="str"/>
      <x:c r="E759" s="64" t="str"/>
      <x:c r="F759" s="64" t="n">
        <x:f>Lot_paie!AR25</x:f>
        <x:v>0</x:v>
      </x:c>
      <x:c r="G759" s="66" t="str"/>
      <x:c r="H759" s="64" t="str"/>
    </x:row>
    <x:row r="760">
      <x:c r="A760" s="25" t="str"/>
      <x:c r="B760" s="110" t="str">
        <x:v>NET À PAYER</x:v>
      </x:c>
      <x:c r="C760" s="110" t="str"/>
      <x:c r="D760" s="111" t="str"/>
      <x:c r="E760" s="111" t="str"/>
      <x:c r="F760" s="111" t="str"/>
      <x:c r="G760" s="112" t="str"/>
      <x:c r="H760" s="111" t="n">
        <x:f>Lot_paie!AT25</x:f>
        <x:v>0</x:v>
      </x:c>
    </x:row>
    <x:row r="761">
      <x:c r="A761" s="25"/>
      <x:c r="B761" s="25"/>
      <x:c r="C761" s="25"/>
      <x:c r="D761" s="25"/>
      <x:c r="E761" s="25"/>
      <x:c r="F761" s="25"/>
      <x:c r="G761" s="25"/>
      <x:c r="H761" s="25"/>
    </x:row>
    <x:row r="762">
      <x:c r="A762" s="25"/>
      <x:c r="B762" s="25"/>
      <x:c r="C762" s="25"/>
      <x:c r="D762" s="25"/>
      <x:c r="E762" s="25"/>
      <x:c r="F762" s="25"/>
      <x:c r="G762" s="25"/>
      <x:c r="H762" s="25"/>
    </x:row>
    <x:row r="763">
      <x:c r="A763" s="25"/>
      <x:c r="B763" s="25"/>
      <x:c r="C763" s="25"/>
      <x:c r="D763" s="25"/>
      <x:c r="E763" s="25"/>
      <x:c r="F763" s="25"/>
      <x:c r="G763" s="25"/>
      <x:c r="H763" s="25"/>
    </x:row>
    <x:row r="764">
      <x:c r="A764" s="25"/>
      <x:c r="B764" s="25"/>
      <x:c r="C764" s="25"/>
      <x:c r="D764" s="25"/>
      <x:c r="E764" s="25"/>
      <x:c r="F764" s="25"/>
      <x:c r="G764" s="25"/>
      <x:c r="H764" s="25"/>
    </x:row>
    <x:row r="765">
      <x:c r="A765" s="25"/>
      <x:c r="B765" s="25"/>
      <x:c r="C765" s="25"/>
      <x:c r="D765" s="25"/>
      <x:c r="E765" s="25"/>
      <x:c r="F765" s="25"/>
      <x:c r="G765" s="25"/>
      <x:c r="H765" s="25"/>
    </x:row>
    <x:row r="766">
      <x:c r="A766" s="25"/>
      <x:c r="B766" s="25"/>
      <x:c r="C766" s="25"/>
      <x:c r="D766" s="25"/>
      <x:c r="E766" s="25"/>
      <x:c r="F766" s="25"/>
      <x:c r="G766" s="25"/>
      <x:c r="H766" s="25"/>
    </x:row>
    <x:row r="767">
      <x:c r="A767" s="25"/>
      <x:c r="B767" s="25"/>
      <x:c r="C767" s="25"/>
      <x:c r="D767" s="25"/>
      <x:c r="E767" s="25"/>
      <x:c r="F767" s="25"/>
      <x:c r="G767" s="25"/>
      <x:c r="H767" s="25"/>
    </x:row>
    <x:row r="769">
      <x:c r="A769" s="108" t="str">
        <x:v>BULLETIN DE PAIE – AAEA / AfWASA</x:v>
      </x:c>
      <x:c r="B769" s="108"/>
      <x:c r="C769" s="108"/>
      <x:c r="D769" s="108"/>
      <x:c r="E769" s="108"/>
      <x:c r="F769" s="108"/>
      <x:c r="G769" s="108"/>
      <x:c r="H769" s="108"/>
    </x:row>
    <x:row r="770">
      <x:c r="A770" s="25" t="str">
        <x:v>Matricule</x:v>
      </x:c>
      <x:c r="B770" s="25" t="str">
        <x:f>Lot_paie!A26</x:f>
        <x:v>0000Z</x:v>
      </x:c>
      <x:c r="C770" s="25" t="str">
        <x:v>Période</x:v>
      </x:c>
      <x:c r="D770" s="25" t="str">
        <x:f>Parametres_Paie!$B$26</x:f>
        <x:v>Janvier 2025</x:v>
      </x:c>
      <x:c r="E770" s="25" t="str">
        <x:v>Paiement</x:v>
      </x:c>
      <x:c r="F770" s="25" t="n">
        <x:f>Parametres_Paie!$B$25</x:f>
        <x:v>45688</x:v>
      </x:c>
      <x:c r="G770" s="25" t="str"/>
      <x:c r="H770" s="25" t="str"/>
    </x:row>
    <x:row r="771">
      <x:c r="A771" s="25" t="str">
        <x:v>Nom et prénom</x:v>
      </x:c>
      <x:c r="B771" s="25" t="str">
        <x:f>Lot_paie!B26&amp;" "&amp;Lot_paie!C26</x:f>
        <x:v>KANGA Kouamé Alexandre</x:v>
      </x:c>
      <x:c r="C771" s="25" t="str">
        <x:v>Poste</x:v>
      </x:c>
      <x:c r="D771" s="25" t="str">
        <x:f>Lot_paie!F26</x:f>
        <x:v>Responsable Données et Stratégies</x:v>
      </x:c>
      <x:c r="E771" s="25" t="str">
        <x:v>CNPS</x:v>
      </x:c>
      <x:c r="F771" s="25" t="n">
        <x:f>Lot_paie!J26</x:f>
        <x:v>183011531120</x:v>
      </x:c>
      <x:c r="G771" s="25" t="str"/>
      <x:c r="H771" s="25" t="str"/>
    </x:row>
    <x:row r="772">
      <x:c r="A772" s="25" t="str">
        <x:v>Direction</x:v>
      </x:c>
      <x:c r="B772" s="25" t="str">
        <x:f>Lot_paie!D26</x:f>
        <x:v>Cabinet de la Direction Exécutive</x:v>
      </x:c>
      <x:c r="C772" s="25" t="str">
        <x:v>Date entrée</x:v>
      </x:c>
      <x:c r="D772" s="25" t="n">
        <x:f>Lot_paie!I26</x:f>
        <x:v>44896</x:v>
      </x:c>
      <x:c r="E772" s="25" t="str">
        <x:v>Ancienneté</x:v>
      </x:c>
      <x:c r="F772" s="25" t="str">
        <x:f>Lot_paie!V26</x:f>
        <x:v>2 ans (calcul période)</x:v>
      </x:c>
      <x:c r="G772" s="25" t="str"/>
      <x:c r="H772" s="25" t="str"/>
    </x:row>
    <x:row r="773">
      <x:c r="A773" s="25"/>
      <x:c r="B773" s="25"/>
      <x:c r="C773" s="25"/>
      <x:c r="D773" s="25"/>
      <x:c r="E773" s="25"/>
      <x:c r="F773" s="25"/>
      <x:c r="G773" s="25"/>
      <x:c r="H773" s="25"/>
    </x:row>
    <x:row r="774">
      <x:c r="A774" s="14" t="str">
        <x:v>N°</x:v>
      </x:c>
      <x:c r="B774" s="14" t="str">
        <x:v>Désignation</x:v>
      </x:c>
      <x:c r="C774" s="14" t="str">
        <x:v>Nombre</x:v>
      </x:c>
      <x:c r="D774" s="14" t="str">
        <x:v>Base</x:v>
      </x:c>
      <x:c r="E774" s="14" t="str">
        <x:v>Taux Sal.</x:v>
      </x:c>
      <x:c r="F774" s="14" t="str">
        <x:v>Ret. Sal.</x:v>
      </x:c>
      <x:c r="G774" s="14" t="str">
        <x:v>Taux Pat.</x:v>
      </x:c>
      <x:c r="H774" s="14" t="str">
        <x:v>Ret. Pat.</x:v>
      </x:c>
    </x:row>
    <x:row r="775">
      <x:c r="A775" s="25" t="str">
        <x:v>100</x:v>
      </x:c>
      <x:c r="B775" s="25" t="str">
        <x:v>Salaire de base</x:v>
      </x:c>
      <x:c r="C775" s="25" t="str">
        <x:v>30</x:v>
      </x:c>
      <x:c r="D775" s="64" t="n">
        <x:f>Lot_paie!K26</x:f>
        <x:v>176701</x:v>
      </x:c>
      <x:c r="E775" s="64" t="str"/>
      <x:c r="F775" s="64" t="str"/>
      <x:c r="G775" s="64" t="str"/>
      <x:c r="H775" s="64" t="str"/>
    </x:row>
    <x:row r="776">
      <x:c r="A776" s="25" t="str">
        <x:v>110</x:v>
      </x:c>
      <x:c r="B776" s="25" t="str">
        <x:v>Sursalaire</x:v>
      </x:c>
      <x:c r="C776" s="25" t="str">
        <x:v>30</x:v>
      </x:c>
      <x:c r="D776" s="64" t="n">
        <x:f>Lot_paie!L26</x:f>
        <x:v>769549</x:v>
      </x:c>
      <x:c r="E776" s="64" t="str"/>
      <x:c r="F776" s="64" t="str"/>
      <x:c r="G776" s="64" t="str"/>
      <x:c r="H776" s="64" t="str"/>
    </x:row>
    <x:row r="777">
      <x:c r="A777" s="25" t="str">
        <x:v>120</x:v>
      </x:c>
      <x:c r="B777" s="25" t="str">
        <x:v>Prime ancienneté</x:v>
      </x:c>
      <x:c r="C777" s="25" t="n">
        <x:f>Lot_paie!U26</x:f>
        <x:v>2</x:v>
      </x:c>
      <x:c r="D777" s="64" t="n">
        <x:f>Lot_paie!X26</x:f>
        <x:v>3534</x:v>
      </x:c>
      <x:c r="E777" s="64" t="str"/>
      <x:c r="F777" s="64" t="str"/>
      <x:c r="G777" s="64" t="str"/>
      <x:c r="H777" s="64" t="str"/>
    </x:row>
    <x:row r="778">
      <x:c r="A778" s="25" t="str"/>
      <x:c r="B778" s="24" t="str">
        <x:v>Total brut imposable</x:v>
      </x:c>
      <x:c r="C778" s="24" t="str"/>
      <x:c r="D778" s="76" t="str"/>
      <x:c r="E778" s="76" t="str"/>
      <x:c r="F778" s="76" t="n">
        <x:f>Lot_paie!AA26</x:f>
        <x:v>949784</x:v>
      </x:c>
      <x:c r="G778" s="76" t="str"/>
      <x:c r="H778" s="76" t="str"/>
    </x:row>
    <x:row r="779">
      <x:c r="A779" s="25" t="str">
        <x:v>810</x:v>
      </x:c>
      <x:c r="B779" s="25" t="str">
        <x:v>C.N.P.S.</x:v>
      </x:c>
      <x:c r="C779" s="25" t="str"/>
      <x:c r="D779" s="64" t="n">
        <x:f>Lot_paie!AB26</x:f>
        <x:v>949784</x:v>
      </x:c>
      <x:c r="E779" s="66" t="n">
        <x:f>Parametres_Paie!$B$4</x:f>
        <x:v>0.063</x:v>
      </x:c>
      <x:c r="F779" s="64" t="n">
        <x:f>Lot_paie!AC26</x:f>
        <x:v>59836</x:v>
      </x:c>
      <x:c r="G779" s="66" t="n">
        <x:f>Parametres_Paie!$B$5</x:f>
        <x:v>0.077</x:v>
      </x:c>
      <x:c r="H779" s="64" t="n">
        <x:f>Lot_paie!AH26</x:f>
        <x:v>73133</x:v>
      </x:c>
    </x:row>
    <x:row r="780">
      <x:c r="A780" s="25" t="str">
        <x:v>815</x:v>
      </x:c>
      <x:c r="B780" s="25" t="str">
        <x:v>Retenue CMU employé</x:v>
      </x:c>
      <x:c r="C780" s="25" t="str"/>
      <x:c r="D780" s="64" t="n">
        <x:f>Lot_paie!AD26</x:f>
        <x:v>1000</x:v>
      </x:c>
      <x:c r="E780" s="64" t="str"/>
      <x:c r="F780" s="64" t="n">
        <x:f>Lot_paie!AD26</x:f>
        <x:v>1000</x:v>
      </x:c>
      <x:c r="G780" s="66" t="str"/>
      <x:c r="H780" s="64" t="n">
        <x:f>Lot_paie!AL26</x:f>
        <x:v>1000</x:v>
      </x:c>
    </x:row>
    <x:row r="781">
      <x:c r="A781" s="25" t="str">
        <x:v>860</x:v>
      </x:c>
      <x:c r="B781" s="25" t="str">
        <x:v>I.T.S</x:v>
      </x:c>
      <x:c r="C781" s="25" t="str"/>
      <x:c r="D781" s="64" t="n">
        <x:f>Lot_paie!AA26</x:f>
        <x:v>949784</x:v>
      </x:c>
      <x:c r="E781" s="64" t="str"/>
      <x:c r="F781" s="64" t="n">
        <x:f>Lot_paie!AF26</x:f>
        <x:v>168948</x:v>
      </x:c>
      <x:c r="G781" s="66" t="str"/>
      <x:c r="H781" s="64" t="str"/>
    </x:row>
    <x:row r="782">
      <x:c r="A782" s="25" t="str">
        <x:v>912</x:v>
      </x:c>
      <x:c r="B782" s="25" t="str">
        <x:v>Prestation Familiale</x:v>
      </x:c>
      <x:c r="C782" s="25" t="str"/>
      <x:c r="D782" s="64" t="n">
        <x:f>Parametres_Paie!$B$7</x:f>
        <x:v>75000</x:v>
      </x:c>
      <x:c r="E782" s="64" t="str"/>
      <x:c r="F782" s="64" t="str"/>
      <x:c r="G782" s="66" t="n">
        <x:f>Parametres_Paie!$B$8</x:f>
        <x:v>0.05</x:v>
      </x:c>
      <x:c r="H782" s="64" t="n">
        <x:f>Lot_paie!AI26</x:f>
        <x:v>3750</x:v>
      </x:c>
    </x:row>
    <x:row r="783">
      <x:c r="A783" s="25" t="str">
        <x:v>913</x:v>
      </x:c>
      <x:c r="B783" s="25" t="str">
        <x:v>Accident de Travail</x:v>
      </x:c>
      <x:c r="C783" s="25" t="str"/>
      <x:c r="D783" s="64" t="n">
        <x:f>Parametres_Paie!$B$7</x:f>
        <x:v>75000</x:v>
      </x:c>
      <x:c r="E783" s="64" t="str"/>
      <x:c r="F783" s="64" t="str"/>
      <x:c r="G783" s="66" t="n">
        <x:f>Lot_paie!T26</x:f>
        <x:v>0.02</x:v>
      </x:c>
      <x:c r="H783" s="64" t="n">
        <x:f>Lot_paie!AJ26</x:f>
        <x:v>1500</x:v>
      </x:c>
    </x:row>
    <x:row r="784">
      <x:c r="A784" s="25" t="str">
        <x:v>914</x:v>
      </x:c>
      <x:c r="B784" s="25" t="str">
        <x:v>Assurance Maternité</x:v>
      </x:c>
      <x:c r="C784" s="25" t="str"/>
      <x:c r="D784" s="64" t="n">
        <x:f>Parametres_Paie!$B$7</x:f>
        <x:v>75000</x:v>
      </x:c>
      <x:c r="E784" s="64" t="str"/>
      <x:c r="F784" s="64" t="str"/>
      <x:c r="G784" s="66" t="n">
        <x:f>Parametres_Paie!$B$9</x:f>
        <x:v>0.0075</x:v>
      </x:c>
      <x:c r="H784" s="64" t="n">
        <x:f>Lot_paie!AK26</x:f>
        <x:v>563</x:v>
      </x:c>
    </x:row>
    <x:row r="785">
      <x:c r="A785" s="25" t="str">
        <x:v>924</x:v>
      </x:c>
      <x:c r="B785" s="25" t="str">
        <x:v>I.S. Employeur Local</x:v>
      </x:c>
      <x:c r="C785" s="25" t="str"/>
      <x:c r="D785" s="64" t="n">
        <x:f>Lot_paie!AA26</x:f>
        <x:v>949784</x:v>
      </x:c>
      <x:c r="E785" s="64" t="str"/>
      <x:c r="F785" s="64" t="str"/>
      <x:c r="G785" s="66" t="n">
        <x:f>Parametres_Paie!$B$15</x:f>
        <x:v>0.012</x:v>
      </x:c>
      <x:c r="H785" s="64" t="n">
        <x:f>Lot_paie!AM26</x:f>
        <x:v>11397</x:v>
      </x:c>
    </x:row>
    <x:row r="786">
      <x:c r="A786" s="25" t="str">
        <x:v>930</x:v>
      </x:c>
      <x:c r="B786" s="25" t="str">
        <x:v>Taxe d’Apprentissage</x:v>
      </x:c>
      <x:c r="C786" s="25" t="str"/>
      <x:c r="D786" s="64" t="n">
        <x:f>Lot_paie!AA26</x:f>
        <x:v>949784</x:v>
      </x:c>
      <x:c r="E786" s="64" t="str"/>
      <x:c r="F786" s="64" t="str"/>
      <x:c r="G786" s="66" t="n">
        <x:f>Parametres_Paie!$B$16</x:f>
        <x:v>0.004</x:v>
      </x:c>
      <x:c r="H786" s="64" t="n">
        <x:f>Lot_paie!AN26</x:f>
        <x:v>3799</x:v>
      </x:c>
    </x:row>
    <x:row r="787">
      <x:c r="A787" s="25" t="str">
        <x:v>931</x:v>
      </x:c>
      <x:c r="B787" s="25" t="str">
        <x:v>Taxe Formation Professionnelle Continue</x:v>
      </x:c>
      <x:c r="C787" s="25" t="str"/>
      <x:c r="D787" s="64" t="n">
        <x:f>Lot_paie!AA26</x:f>
        <x:v>949784</x:v>
      </x:c>
      <x:c r="E787" s="64" t="str"/>
      <x:c r="F787" s="64" t="str"/>
      <x:c r="G787" s="66" t="n">
        <x:f>Parametres_Paie!$B$17</x:f>
        <x:v>0.006</x:v>
      </x:c>
      <x:c r="H787" s="64" t="n">
        <x:f>Lot_paie!AO26</x:f>
        <x:v>5699</x:v>
      </x:c>
    </x:row>
    <x:row r="788">
      <x:c r="A788" s="25" t="str">
        <x:v>932</x:v>
      </x:c>
      <x:c r="B788" s="25" t="str">
        <x:v>Taxe FPC Fin d’année</x:v>
      </x:c>
      <x:c r="C788" s="25" t="str"/>
      <x:c r="D788" s="64" t="n">
        <x:f>Lot_paie!AA26</x:f>
        <x:v>949784</x:v>
      </x:c>
      <x:c r="E788" s="64" t="str"/>
      <x:c r="F788" s="64" t="str"/>
      <x:c r="G788" s="66" t="n">
        <x:f>Parametres_Paie!$B$18</x:f>
        <x:v>0.006</x:v>
      </x:c>
      <x:c r="H788" s="64" t="n">
        <x:f>Lot_paie!AP26</x:f>
        <x:v>5699</x:v>
      </x:c>
    </x:row>
    <x:row r="789">
      <x:c r="A789" s="25" t="str"/>
      <x:c r="B789" s="83" t="str">
        <x:v>Total retenues fiscales et sociales</x:v>
      </x:c>
      <x:c r="C789" s="83" t="str"/>
      <x:c r="D789" s="84" t="str"/>
      <x:c r="E789" s="84" t="str"/>
      <x:c r="F789" s="84" t="n">
        <x:f>Lot_paie!AG26</x:f>
        <x:v>229784</x:v>
      </x:c>
      <x:c r="G789" s="85" t="str"/>
      <x:c r="H789" s="84" t="n">
        <x:f>Lot_paie!AQ26</x:f>
        <x:v>106540</x:v>
      </x:c>
    </x:row>
    <x:row r="790">
      <x:c r="A790" s="25" t="str">
        <x:v>204</x:v>
      </x:c>
      <x:c r="B790" s="25" t="str">
        <x:v>Indemnité Transport N. Imposable</x:v>
      </x:c>
      <x:c r="C790" s="25" t="str">
        <x:v>30</x:v>
      </x:c>
      <x:c r="D790" s="64" t="n">
        <x:f>Lot_paie!Y26</x:f>
        <x:v>30000</x:v>
      </x:c>
      <x:c r="E790" s="64" t="str"/>
      <x:c r="F790" s="64" t="n">
        <x:f>Lot_paie!Y26</x:f>
        <x:v>30000</x:v>
      </x:c>
      <x:c r="G790" s="66" t="str"/>
      <x:c r="H790" s="64" t="str"/>
    </x:row>
    <x:row r="791">
      <x:c r="A791" s="25" t="str"/>
      <x:c r="B791" s="25" t="str">
        <x:v>Total gains non imposables</x:v>
      </x:c>
      <x:c r="C791" s="25" t="str"/>
      <x:c r="D791" s="64" t="str"/>
      <x:c r="E791" s="64" t="str"/>
      <x:c r="F791" s="64" t="n">
        <x:f>Lot_paie!AR26</x:f>
        <x:v>30000</x:v>
      </x:c>
      <x:c r="G791" s="66" t="str"/>
      <x:c r="H791" s="64" t="str"/>
    </x:row>
    <x:row r="792">
      <x:c r="A792" s="25" t="str"/>
      <x:c r="B792" s="110" t="str">
        <x:v>NET À PAYER</x:v>
      </x:c>
      <x:c r="C792" s="110" t="str"/>
      <x:c r="D792" s="111" t="str"/>
      <x:c r="E792" s="111" t="str"/>
      <x:c r="F792" s="111" t="str"/>
      <x:c r="G792" s="112" t="str"/>
      <x:c r="H792" s="111" t="n">
        <x:f>Lot_paie!AT26</x:f>
        <x:v>750000</x:v>
      </x:c>
    </x:row>
    <x:row r="793">
      <x:c r="A793" s="25"/>
      <x:c r="B793" s="25"/>
      <x:c r="C793" s="25"/>
      <x:c r="D793" s="25"/>
      <x:c r="E793" s="25"/>
      <x:c r="F793" s="25"/>
      <x:c r="G793" s="25"/>
      <x:c r="H793" s="25"/>
    </x:row>
    <x:row r="794">
      <x:c r="A794" s="25"/>
      <x:c r="B794" s="25"/>
      <x:c r="C794" s="25"/>
      <x:c r="D794" s="25"/>
      <x:c r="E794" s="25"/>
      <x:c r="F794" s="25"/>
      <x:c r="G794" s="25"/>
      <x:c r="H794" s="25"/>
    </x:row>
    <x:row r="795">
      <x:c r="A795" s="25"/>
      <x:c r="B795" s="25"/>
      <x:c r="C795" s="25"/>
      <x:c r="D795" s="25"/>
      <x:c r="E795" s="25"/>
      <x:c r="F795" s="25"/>
      <x:c r="G795" s="25"/>
      <x:c r="H795" s="25"/>
    </x:row>
    <x:row r="796">
      <x:c r="A796" s="25"/>
      <x:c r="B796" s="25"/>
      <x:c r="C796" s="25"/>
      <x:c r="D796" s="25"/>
      <x:c r="E796" s="25"/>
      <x:c r="F796" s="25"/>
      <x:c r="G796" s="25"/>
      <x:c r="H796" s="25"/>
    </x:row>
    <x:row r="797">
      <x:c r="A797" s="25"/>
      <x:c r="B797" s="25"/>
      <x:c r="C797" s="25"/>
      <x:c r="D797" s="25"/>
      <x:c r="E797" s="25"/>
      <x:c r="F797" s="25"/>
      <x:c r="G797" s="25"/>
      <x:c r="H797" s="25"/>
    </x:row>
    <x:row r="798">
      <x:c r="A798" s="25"/>
      <x:c r="B798" s="25"/>
      <x:c r="C798" s="25"/>
      <x:c r="D798" s="25"/>
      <x:c r="E798" s="25"/>
      <x:c r="F798" s="25"/>
      <x:c r="G798" s="25"/>
      <x:c r="H798" s="25"/>
    </x:row>
    <x:row r="799">
      <x:c r="A799" s="25"/>
      <x:c r="B799" s="25"/>
      <x:c r="C799" s="25"/>
      <x:c r="D799" s="25"/>
      <x:c r="E799" s="25"/>
      <x:c r="F799" s="25"/>
      <x:c r="G799" s="25"/>
      <x:c r="H799" s="25"/>
    </x:row>
    <x:row r="801">
      <x:c r="A801" s="108" t="str">
        <x:v>BULLETIN DE PAIE – AAEA / AfWASA</x:v>
      </x:c>
      <x:c r="B801" s="108"/>
      <x:c r="C801" s="108"/>
      <x:c r="D801" s="108"/>
      <x:c r="E801" s="108"/>
      <x:c r="F801" s="108"/>
      <x:c r="G801" s="108"/>
      <x:c r="H801" s="108"/>
    </x:row>
    <x:row r="802">
      <x:c r="A802" s="25" t="str">
        <x:v>Matricule</x:v>
      </x:c>
      <x:c r="B802" s="25" t="str">
        <x:f>Lot_paie!A27</x:f>
        <x:v>0088F</x:v>
      </x:c>
      <x:c r="C802" s="25" t="str">
        <x:v>Période</x:v>
      </x:c>
      <x:c r="D802" s="25" t="str">
        <x:f>Parametres_Paie!$B$26</x:f>
        <x:v>Janvier 2025</x:v>
      </x:c>
      <x:c r="E802" s="25" t="str">
        <x:v>Paiement</x:v>
      </x:c>
      <x:c r="F802" s="25" t="n">
        <x:f>Parametres_Paie!$B$25</x:f>
        <x:v>45688</x:v>
      </x:c>
      <x:c r="G802" s="25" t="str"/>
      <x:c r="H802" s="25" t="str"/>
    </x:row>
    <x:row r="803">
      <x:c r="A803" s="25" t="str">
        <x:v>Nom et prénom</x:v>
      </x:c>
      <x:c r="B803" s="25" t="str">
        <x:f>Lot_paie!B27&amp;" "&amp;Lot_paie!C27</x:f>
        <x:v>LAWSON Micheline</x:v>
      </x:c>
      <x:c r="C803" s="25" t="str">
        <x:v>Poste</x:v>
      </x:c>
      <x:c r="D803" s="25" t="str">
        <x:f>Lot_paie!F27</x:f>
        <x:v>Responsable Evènementiel &amp; Marketing</x:v>
      </x:c>
      <x:c r="E803" s="25" t="str">
        <x:v>CNPS</x:v>
      </x:c>
      <x:c r="F803" s="25" t="n">
        <x:f>Lot_paie!J27</x:f>
        <x:v>202300054873</x:v>
      </x:c>
      <x:c r="G803" s="25" t="str"/>
      <x:c r="H803" s="25" t="str"/>
    </x:row>
    <x:row r="804">
      <x:c r="A804" s="25" t="str">
        <x:v>Direction</x:v>
      </x:c>
      <x:c r="B804" s="25" t="str">
        <x:f>Lot_paie!D27</x:f>
        <x:v>Direction des Services aux Membres et des Programmes</x:v>
      </x:c>
      <x:c r="C804" s="25" t="str">
        <x:v>Date entrée</x:v>
      </x:c>
      <x:c r="D804" s="25" t="n">
        <x:f>Lot_paie!I27</x:f>
        <x:v>44958</x:v>
      </x:c>
      <x:c r="E804" s="25" t="str">
        <x:v>Ancienneté</x:v>
      </x:c>
      <x:c r="F804" s="25" t="str">
        <x:f>Lot_paie!V27</x:f>
        <x:v>1 ans (calcul période)</x:v>
      </x:c>
      <x:c r="G804" s="25" t="str"/>
      <x:c r="H804" s="25" t="str"/>
    </x:row>
    <x:row r="805">
      <x:c r="A805" s="25"/>
      <x:c r="B805" s="25"/>
      <x:c r="C805" s="25"/>
      <x:c r="D805" s="25"/>
      <x:c r="E805" s="25"/>
      <x:c r="F805" s="25"/>
      <x:c r="G805" s="25"/>
      <x:c r="H805" s="25"/>
    </x:row>
    <x:row r="806">
      <x:c r="A806" s="14" t="str">
        <x:v>N°</x:v>
      </x:c>
      <x:c r="B806" s="14" t="str">
        <x:v>Désignation</x:v>
      </x:c>
      <x:c r="C806" s="14" t="str">
        <x:v>Nombre</x:v>
      </x:c>
      <x:c r="D806" s="14" t="str">
        <x:v>Base</x:v>
      </x:c>
      <x:c r="E806" s="14" t="str">
        <x:v>Taux Sal.</x:v>
      </x:c>
      <x:c r="F806" s="14" t="str">
        <x:v>Ret. Sal.</x:v>
      </x:c>
      <x:c r="G806" s="14" t="str">
        <x:v>Taux Pat.</x:v>
      </x:c>
      <x:c r="H806" s="14" t="str">
        <x:v>Ret. Pat.</x:v>
      </x:c>
    </x:row>
    <x:row r="807">
      <x:c r="A807" s="25" t="str">
        <x:v>100</x:v>
      </x:c>
      <x:c r="B807" s="25" t="str">
        <x:v>Salaire de base</x:v>
      </x:c>
      <x:c r="C807" s="25" t="str">
        <x:v>30</x:v>
      </x:c>
      <x:c r="D807" s="64" t="n">
        <x:f>Lot_paie!K27</x:f>
        <x:v>0</x:v>
      </x:c>
      <x:c r="E807" s="64" t="str"/>
      <x:c r="F807" s="64" t="str"/>
      <x:c r="G807" s="64" t="str"/>
      <x:c r="H807" s="64" t="str"/>
    </x:row>
    <x:row r="808">
      <x:c r="A808" s="25" t="str">
        <x:v>110</x:v>
      </x:c>
      <x:c r="B808" s="25" t="str">
        <x:v>Sursalaire</x:v>
      </x:c>
      <x:c r="C808" s="25" t="str">
        <x:v>30</x:v>
      </x:c>
      <x:c r="D808" s="64" t="n">
        <x:f>Lot_paie!L27</x:f>
        <x:v>0</x:v>
      </x:c>
      <x:c r="E808" s="64" t="str"/>
      <x:c r="F808" s="64" t="str"/>
      <x:c r="G808" s="64" t="str"/>
      <x:c r="H808" s="64" t="str"/>
    </x:row>
    <x:row r="809">
      <x:c r="A809" s="25" t="str">
        <x:v>120</x:v>
      </x:c>
      <x:c r="B809" s="25" t="str">
        <x:v>Prime ancienneté</x:v>
      </x:c>
      <x:c r="C809" s="25" t="n">
        <x:f>Lot_paie!U27</x:f>
        <x:v>1</x:v>
      </x:c>
      <x:c r="D809" s="64" t="n">
        <x:f>Lot_paie!X27</x:f>
        <x:v>0</x:v>
      </x:c>
      <x:c r="E809" s="64" t="str"/>
      <x:c r="F809" s="64" t="str"/>
      <x:c r="G809" s="64" t="str"/>
      <x:c r="H809" s="64" t="str"/>
    </x:row>
    <x:row r="810">
      <x:c r="A810" s="25" t="str"/>
      <x:c r="B810" s="24" t="str">
        <x:v>Total brut imposable</x:v>
      </x:c>
      <x:c r="C810" s="24" t="str"/>
      <x:c r="D810" s="76" t="str"/>
      <x:c r="E810" s="76" t="str"/>
      <x:c r="F810" s="76" t="n">
        <x:f>Lot_paie!AA27</x:f>
        <x:v>0</x:v>
      </x:c>
      <x:c r="G810" s="76" t="str"/>
      <x:c r="H810" s="76" t="str"/>
    </x:row>
    <x:row r="811">
      <x:c r="A811" s="25" t="str">
        <x:v>810</x:v>
      </x:c>
      <x:c r="B811" s="25" t="str">
        <x:v>C.N.P.S.</x:v>
      </x:c>
      <x:c r="C811" s="25" t="str"/>
      <x:c r="D811" s="64" t="n">
        <x:f>Lot_paie!AB27</x:f>
        <x:v>0</x:v>
      </x:c>
      <x:c r="E811" s="66" t="n">
        <x:f>Parametres_Paie!$B$4</x:f>
        <x:v>0.063</x:v>
      </x:c>
      <x:c r="F811" s="64" t="n">
        <x:f>Lot_paie!AC27</x:f>
        <x:v>0</x:v>
      </x:c>
      <x:c r="G811" s="66" t="n">
        <x:f>Parametres_Paie!$B$5</x:f>
        <x:v>0.077</x:v>
      </x:c>
      <x:c r="H811" s="64" t="n">
        <x:f>Lot_paie!AH27</x:f>
        <x:v>0</x:v>
      </x:c>
    </x:row>
    <x:row r="812">
      <x:c r="A812" s="25" t="str">
        <x:v>815</x:v>
      </x:c>
      <x:c r="B812" s="25" t="str">
        <x:v>Retenue CMU employé</x:v>
      </x:c>
      <x:c r="C812" s="25" t="str"/>
      <x:c r="D812" s="64" t="n">
        <x:f>Lot_paie!AD27</x:f>
        <x:v>0</x:v>
      </x:c>
      <x:c r="E812" s="64" t="str"/>
      <x:c r="F812" s="64" t="n">
        <x:f>Lot_paie!AD27</x:f>
        <x:v>0</x:v>
      </x:c>
      <x:c r="G812" s="66" t="str"/>
      <x:c r="H812" s="64" t="n">
        <x:f>Lot_paie!AL27</x:f>
        <x:v>0</x:v>
      </x:c>
    </x:row>
    <x:row r="813">
      <x:c r="A813" s="25" t="str">
        <x:v>860</x:v>
      </x:c>
      <x:c r="B813" s="25" t="str">
        <x:v>I.T.S</x:v>
      </x:c>
      <x:c r="C813" s="25" t="str"/>
      <x:c r="D813" s="64" t="n">
        <x:f>Lot_paie!AA27</x:f>
        <x:v>0</x:v>
      </x:c>
      <x:c r="E813" s="64" t="str"/>
      <x:c r="F813" s="64" t="n">
        <x:f>Lot_paie!AF27</x:f>
        <x:v>0</x:v>
      </x:c>
      <x:c r="G813" s="66" t="str"/>
      <x:c r="H813" s="64" t="str"/>
    </x:row>
    <x:row r="814">
      <x:c r="A814" s="25" t="str">
        <x:v>912</x:v>
      </x:c>
      <x:c r="B814" s="25" t="str">
        <x:v>Prestation Familiale</x:v>
      </x:c>
      <x:c r="C814" s="25" t="str"/>
      <x:c r="D814" s="64" t="n">
        <x:f>Parametres_Paie!$B$7</x:f>
        <x:v>75000</x:v>
      </x:c>
      <x:c r="E814" s="64" t="str"/>
      <x:c r="F814" s="64" t="str"/>
      <x:c r="G814" s="66" t="n">
        <x:f>Parametres_Paie!$B$8</x:f>
        <x:v>0.05</x:v>
      </x:c>
      <x:c r="H814" s="64" t="n">
        <x:f>Lot_paie!AI27</x:f>
        <x:v>0</x:v>
      </x:c>
    </x:row>
    <x:row r="815">
      <x:c r="A815" s="25" t="str">
        <x:v>913</x:v>
      </x:c>
      <x:c r="B815" s="25" t="str">
        <x:v>Accident de Travail</x:v>
      </x:c>
      <x:c r="C815" s="25" t="str"/>
      <x:c r="D815" s="64" t="n">
        <x:f>Parametres_Paie!$B$7</x:f>
        <x:v>75000</x:v>
      </x:c>
      <x:c r="E815" s="64" t="str"/>
      <x:c r="F815" s="64" t="str"/>
      <x:c r="G815" s="66" t="n">
        <x:f>Lot_paie!T27</x:f>
        <x:v>0.02</x:v>
      </x:c>
      <x:c r="H815" s="64" t="n">
        <x:f>Lot_paie!AJ27</x:f>
        <x:v>0</x:v>
      </x:c>
    </x:row>
    <x:row r="816">
      <x:c r="A816" s="25" t="str">
        <x:v>914</x:v>
      </x:c>
      <x:c r="B816" s="25" t="str">
        <x:v>Assurance Maternité</x:v>
      </x:c>
      <x:c r="C816" s="25" t="str"/>
      <x:c r="D816" s="64" t="n">
        <x:f>Parametres_Paie!$B$7</x:f>
        <x:v>75000</x:v>
      </x:c>
      <x:c r="E816" s="64" t="str"/>
      <x:c r="F816" s="64" t="str"/>
      <x:c r="G816" s="66" t="n">
        <x:f>Parametres_Paie!$B$9</x:f>
        <x:v>0.0075</x:v>
      </x:c>
      <x:c r="H816" s="64" t="n">
        <x:f>Lot_paie!AK27</x:f>
        <x:v>0</x:v>
      </x:c>
    </x:row>
    <x:row r="817">
      <x:c r="A817" s="25" t="str">
        <x:v>924</x:v>
      </x:c>
      <x:c r="B817" s="25" t="str">
        <x:v>I.S. Employeur Local</x:v>
      </x:c>
      <x:c r="C817" s="25" t="str"/>
      <x:c r="D817" s="64" t="n">
        <x:f>Lot_paie!AA27</x:f>
        <x:v>0</x:v>
      </x:c>
      <x:c r="E817" s="64" t="str"/>
      <x:c r="F817" s="64" t="str"/>
      <x:c r="G817" s="66" t="n">
        <x:f>Parametres_Paie!$B$15</x:f>
        <x:v>0.012</x:v>
      </x:c>
      <x:c r="H817" s="64" t="n">
        <x:f>Lot_paie!AM27</x:f>
        <x:v>0</x:v>
      </x:c>
    </x:row>
    <x:row r="818">
      <x:c r="A818" s="25" t="str">
        <x:v>930</x:v>
      </x:c>
      <x:c r="B818" s="25" t="str">
        <x:v>Taxe d’Apprentissage</x:v>
      </x:c>
      <x:c r="C818" s="25" t="str"/>
      <x:c r="D818" s="64" t="n">
        <x:f>Lot_paie!AA27</x:f>
        <x:v>0</x:v>
      </x:c>
      <x:c r="E818" s="64" t="str"/>
      <x:c r="F818" s="64" t="str"/>
      <x:c r="G818" s="66" t="n">
        <x:f>Parametres_Paie!$B$16</x:f>
        <x:v>0.004</x:v>
      </x:c>
      <x:c r="H818" s="64" t="n">
        <x:f>Lot_paie!AN27</x:f>
        <x:v>0</x:v>
      </x:c>
    </x:row>
    <x:row r="819">
      <x:c r="A819" s="25" t="str">
        <x:v>931</x:v>
      </x:c>
      <x:c r="B819" s="25" t="str">
        <x:v>Taxe Formation Professionnelle Continue</x:v>
      </x:c>
      <x:c r="C819" s="25" t="str"/>
      <x:c r="D819" s="64" t="n">
        <x:f>Lot_paie!AA27</x:f>
        <x:v>0</x:v>
      </x:c>
      <x:c r="E819" s="64" t="str"/>
      <x:c r="F819" s="64" t="str"/>
      <x:c r="G819" s="66" t="n">
        <x:f>Parametres_Paie!$B$17</x:f>
        <x:v>0.006</x:v>
      </x:c>
      <x:c r="H819" s="64" t="n">
        <x:f>Lot_paie!AO27</x:f>
        <x:v>0</x:v>
      </x:c>
    </x:row>
    <x:row r="820">
      <x:c r="A820" s="25" t="str">
        <x:v>932</x:v>
      </x:c>
      <x:c r="B820" s="25" t="str">
        <x:v>Taxe FPC Fin d’année</x:v>
      </x:c>
      <x:c r="C820" s="25" t="str"/>
      <x:c r="D820" s="64" t="n">
        <x:f>Lot_paie!AA27</x:f>
        <x:v>0</x:v>
      </x:c>
      <x:c r="E820" s="64" t="str"/>
      <x:c r="F820" s="64" t="str"/>
      <x:c r="G820" s="66" t="n">
        <x:f>Parametres_Paie!$B$18</x:f>
        <x:v>0.006</x:v>
      </x:c>
      <x:c r="H820" s="64" t="n">
        <x:f>Lot_paie!AP27</x:f>
        <x:v>0</x:v>
      </x:c>
    </x:row>
    <x:row r="821">
      <x:c r="A821" s="25" t="str"/>
      <x:c r="B821" s="83" t="str">
        <x:v>Total retenues fiscales et sociales</x:v>
      </x:c>
      <x:c r="C821" s="83" t="str"/>
      <x:c r="D821" s="84" t="str"/>
      <x:c r="E821" s="84" t="str"/>
      <x:c r="F821" s="84" t="n">
        <x:f>Lot_paie!AG27</x:f>
        <x:v>0</x:v>
      </x:c>
      <x:c r="G821" s="85" t="str"/>
      <x:c r="H821" s="84" t="n">
        <x:f>Lot_paie!AQ27</x:f>
        <x:v>0</x:v>
      </x:c>
    </x:row>
    <x:row r="822">
      <x:c r="A822" s="25" t="str">
        <x:v>204</x:v>
      </x:c>
      <x:c r="B822" s="25" t="str">
        <x:v>Indemnité Transport N. Imposable</x:v>
      </x:c>
      <x:c r="C822" s="25" t="str">
        <x:v>30</x:v>
      </x:c>
      <x:c r="D822" s="64" t="n">
        <x:f>Lot_paie!Y27</x:f>
        <x:v>0</x:v>
      </x:c>
      <x:c r="E822" s="64" t="str"/>
      <x:c r="F822" s="64" t="n">
        <x:f>Lot_paie!Y27</x:f>
        <x:v>0</x:v>
      </x:c>
      <x:c r="G822" s="66" t="str"/>
      <x:c r="H822" s="64" t="str"/>
    </x:row>
    <x:row r="823">
      <x:c r="A823" s="25" t="str"/>
      <x:c r="B823" s="25" t="str">
        <x:v>Total gains non imposables</x:v>
      </x:c>
      <x:c r="C823" s="25" t="str"/>
      <x:c r="D823" s="64" t="str"/>
      <x:c r="E823" s="64" t="str"/>
      <x:c r="F823" s="64" t="n">
        <x:f>Lot_paie!AR27</x:f>
        <x:v>0</x:v>
      </x:c>
      <x:c r="G823" s="66" t="str"/>
      <x:c r="H823" s="64" t="str"/>
    </x:row>
    <x:row r="824">
      <x:c r="A824" s="25" t="str"/>
      <x:c r="B824" s="110" t="str">
        <x:v>NET À PAYER</x:v>
      </x:c>
      <x:c r="C824" s="110" t="str"/>
      <x:c r="D824" s="111" t="str"/>
      <x:c r="E824" s="111" t="str"/>
      <x:c r="F824" s="111" t="str"/>
      <x:c r="G824" s="112" t="str"/>
      <x:c r="H824" s="111" t="n">
        <x:f>Lot_paie!AT27</x:f>
        <x:v>0</x:v>
      </x:c>
    </x:row>
    <x:row r="825">
      <x:c r="A825" s="25"/>
      <x:c r="B825" s="25"/>
      <x:c r="C825" s="25"/>
      <x:c r="D825" s="25"/>
      <x:c r="E825" s="25"/>
      <x:c r="F825" s="25"/>
      <x:c r="G825" s="25"/>
      <x:c r="H825" s="25"/>
    </x:row>
    <x:row r="826">
      <x:c r="A826" s="25"/>
      <x:c r="B826" s="25"/>
      <x:c r="C826" s="25"/>
      <x:c r="D826" s="25"/>
      <x:c r="E826" s="25"/>
      <x:c r="F826" s="25"/>
      <x:c r="G826" s="25"/>
      <x:c r="H826" s="25"/>
    </x:row>
    <x:row r="827">
      <x:c r="A827" s="25"/>
      <x:c r="B827" s="25"/>
      <x:c r="C827" s="25"/>
      <x:c r="D827" s="25"/>
      <x:c r="E827" s="25"/>
      <x:c r="F827" s="25"/>
      <x:c r="G827" s="25"/>
      <x:c r="H827" s="25"/>
    </x:row>
    <x:row r="828">
      <x:c r="A828" s="25"/>
      <x:c r="B828" s="25"/>
      <x:c r="C828" s="25"/>
      <x:c r="D828" s="25"/>
      <x:c r="E828" s="25"/>
      <x:c r="F828" s="25"/>
      <x:c r="G828" s="25"/>
      <x:c r="H828" s="25"/>
    </x:row>
    <x:row r="829">
      <x:c r="A829" s="25"/>
      <x:c r="B829" s="25"/>
      <x:c r="C829" s="25"/>
      <x:c r="D829" s="25"/>
      <x:c r="E829" s="25"/>
      <x:c r="F829" s="25"/>
      <x:c r="G829" s="25"/>
      <x:c r="H829" s="25"/>
    </x:row>
    <x:row r="830">
      <x:c r="A830" s="25"/>
      <x:c r="B830" s="25"/>
      <x:c r="C830" s="25"/>
      <x:c r="D830" s="25"/>
      <x:c r="E830" s="25"/>
      <x:c r="F830" s="25"/>
      <x:c r="G830" s="25"/>
      <x:c r="H830" s="25"/>
    </x:row>
    <x:row r="831">
      <x:c r="A831" s="25"/>
      <x:c r="B831" s="25"/>
      <x:c r="C831" s="25"/>
      <x:c r="D831" s="25"/>
      <x:c r="E831" s="25"/>
      <x:c r="F831" s="25"/>
      <x:c r="G831" s="25"/>
      <x:c r="H831" s="25"/>
    </x:row>
    <x:row r="833">
      <x:c r="A833" s="108" t="str">
        <x:v>BULLETIN DE PAIE – AAEA / AfWASA</x:v>
      </x:c>
      <x:c r="B833" s="108"/>
      <x:c r="C833" s="108"/>
      <x:c r="D833" s="108"/>
      <x:c r="E833" s="108"/>
      <x:c r="F833" s="108"/>
      <x:c r="G833" s="108"/>
      <x:c r="H833" s="108"/>
    </x:row>
    <x:row r="834">
      <x:c r="A834" s="25" t="str">
        <x:v>Matricule</x:v>
      </x:c>
      <x:c r="B834" s="25" t="str">
        <x:f>Lot_paie!A28</x:f>
        <x:v>0094M</x:v>
      </x:c>
      <x:c r="C834" s="25" t="str">
        <x:v>Période</x:v>
      </x:c>
      <x:c r="D834" s="25" t="str">
        <x:f>Parametres_Paie!$B$26</x:f>
        <x:v>Janvier 2025</x:v>
      </x:c>
      <x:c r="E834" s="25" t="str">
        <x:v>Paiement</x:v>
      </x:c>
      <x:c r="F834" s="25" t="n">
        <x:f>Parametres_Paie!$B$25</x:f>
        <x:v>45688</x:v>
      </x:c>
      <x:c r="G834" s="25" t="str"/>
      <x:c r="H834" s="25" t="str"/>
    </x:row>
    <x:row r="835">
      <x:c r="A835" s="25" t="str">
        <x:v>Nom et prénom</x:v>
      </x:c>
      <x:c r="B835" s="25" t="str">
        <x:f>Lot_paie!B28&amp;" "&amp;Lot_paie!C28</x:f>
        <x:v>KANGA Bénédicte Ahou</x:v>
      </x:c>
      <x:c r="C835" s="25" t="str">
        <x:v>Poste</x:v>
      </x:c>
      <x:c r="D835" s="25" t="str">
        <x:f>Lot_paie!F28</x:f>
        <x:v>Assistante Directions des Programmes</x:v>
      </x:c>
      <x:c r="E835" s="25" t="str">
        <x:v>CNPS</x:v>
      </x:c>
      <x:c r="F835" s="25" t="str">
        <x:f>Lot_paie!J28</x:f>
      </x:c>
      <x:c r="G835" s="25" t="str"/>
      <x:c r="H835" s="25" t="str"/>
    </x:row>
    <x:row r="836">
      <x:c r="A836" s="25" t="str">
        <x:v>Direction</x:v>
      </x:c>
      <x:c r="B836" s="25" t="str">
        <x:f>Lot_paie!D28</x:f>
        <x:v>Direction des Services aux Membres et des Programmes</x:v>
      </x:c>
      <x:c r="C836" s="25" t="str">
        <x:v>Date entrée</x:v>
      </x:c>
      <x:c r="D836" s="25" t="n">
        <x:f>Lot_paie!I28</x:f>
        <x:v>45061</x:v>
      </x:c>
      <x:c r="E836" s="25" t="str">
        <x:v>Ancienneté</x:v>
      </x:c>
      <x:c r="F836" s="25" t="str">
        <x:f>Lot_paie!V28</x:f>
        <x:v>1 ans (calcul période)</x:v>
      </x:c>
      <x:c r="G836" s="25" t="str"/>
      <x:c r="H836" s="25" t="str"/>
    </x:row>
    <x:row r="837">
      <x:c r="A837" s="25"/>
      <x:c r="B837" s="25"/>
      <x:c r="C837" s="25"/>
      <x:c r="D837" s="25"/>
      <x:c r="E837" s="25"/>
      <x:c r="F837" s="25"/>
      <x:c r="G837" s="25"/>
      <x:c r="H837" s="25"/>
    </x:row>
    <x:row r="838">
      <x:c r="A838" s="14" t="str">
        <x:v>N°</x:v>
      </x:c>
      <x:c r="B838" s="14" t="str">
        <x:v>Désignation</x:v>
      </x:c>
      <x:c r="C838" s="14" t="str">
        <x:v>Nombre</x:v>
      </x:c>
      <x:c r="D838" s="14" t="str">
        <x:v>Base</x:v>
      </x:c>
      <x:c r="E838" s="14" t="str">
        <x:v>Taux Sal.</x:v>
      </x:c>
      <x:c r="F838" s="14" t="str">
        <x:v>Ret. Sal.</x:v>
      </x:c>
      <x:c r="G838" s="14" t="str">
        <x:v>Taux Pat.</x:v>
      </x:c>
      <x:c r="H838" s="14" t="str">
        <x:v>Ret. Pat.</x:v>
      </x:c>
    </x:row>
    <x:row r="839">
      <x:c r="A839" s="25" t="str">
        <x:v>100</x:v>
      </x:c>
      <x:c r="B839" s="25" t="str">
        <x:v>Salaire de base</x:v>
      </x:c>
      <x:c r="C839" s="25" t="str">
        <x:v>30</x:v>
      </x:c>
      <x:c r="D839" s="64" t="n">
        <x:f>Lot_paie!K28</x:f>
        <x:v>0</x:v>
      </x:c>
      <x:c r="E839" s="64" t="str"/>
      <x:c r="F839" s="64" t="str"/>
      <x:c r="G839" s="64" t="str"/>
      <x:c r="H839" s="64" t="str"/>
    </x:row>
    <x:row r="840">
      <x:c r="A840" s="25" t="str">
        <x:v>110</x:v>
      </x:c>
      <x:c r="B840" s="25" t="str">
        <x:v>Sursalaire</x:v>
      </x:c>
      <x:c r="C840" s="25" t="str">
        <x:v>30</x:v>
      </x:c>
      <x:c r="D840" s="64" t="n">
        <x:f>Lot_paie!L28</x:f>
        <x:v>0</x:v>
      </x:c>
      <x:c r="E840" s="64" t="str"/>
      <x:c r="F840" s="64" t="str"/>
      <x:c r="G840" s="64" t="str"/>
      <x:c r="H840" s="64" t="str"/>
    </x:row>
    <x:row r="841">
      <x:c r="A841" s="25" t="str">
        <x:v>120</x:v>
      </x:c>
      <x:c r="B841" s="25" t="str">
        <x:v>Prime ancienneté</x:v>
      </x:c>
      <x:c r="C841" s="25" t="n">
        <x:f>Lot_paie!U28</x:f>
        <x:v>1</x:v>
      </x:c>
      <x:c r="D841" s="64" t="n">
        <x:f>Lot_paie!X28</x:f>
        <x:v>0</x:v>
      </x:c>
      <x:c r="E841" s="64" t="str"/>
      <x:c r="F841" s="64" t="str"/>
      <x:c r="G841" s="64" t="str"/>
      <x:c r="H841" s="64" t="str"/>
    </x:row>
    <x:row r="842">
      <x:c r="A842" s="25" t="str"/>
      <x:c r="B842" s="24" t="str">
        <x:v>Total brut imposable</x:v>
      </x:c>
      <x:c r="C842" s="24" t="str"/>
      <x:c r="D842" s="76" t="str"/>
      <x:c r="E842" s="76" t="str"/>
      <x:c r="F842" s="76" t="n">
        <x:f>Lot_paie!AA28</x:f>
        <x:v>0</x:v>
      </x:c>
      <x:c r="G842" s="76" t="str"/>
      <x:c r="H842" s="76" t="str"/>
    </x:row>
    <x:row r="843">
      <x:c r="A843" s="25" t="str">
        <x:v>810</x:v>
      </x:c>
      <x:c r="B843" s="25" t="str">
        <x:v>C.N.P.S.</x:v>
      </x:c>
      <x:c r="C843" s="25" t="str"/>
      <x:c r="D843" s="64" t="n">
        <x:f>Lot_paie!AB28</x:f>
        <x:v>0</x:v>
      </x:c>
      <x:c r="E843" s="66" t="n">
        <x:f>Parametres_Paie!$B$4</x:f>
        <x:v>0.063</x:v>
      </x:c>
      <x:c r="F843" s="64" t="n">
        <x:f>Lot_paie!AC28</x:f>
        <x:v>0</x:v>
      </x:c>
      <x:c r="G843" s="66" t="n">
        <x:f>Parametres_Paie!$B$5</x:f>
        <x:v>0.077</x:v>
      </x:c>
      <x:c r="H843" s="64" t="n">
        <x:f>Lot_paie!AH28</x:f>
        <x:v>0</x:v>
      </x:c>
    </x:row>
    <x:row r="844">
      <x:c r="A844" s="25" t="str">
        <x:v>815</x:v>
      </x:c>
      <x:c r="B844" s="25" t="str">
        <x:v>Retenue CMU employé</x:v>
      </x:c>
      <x:c r="C844" s="25" t="str"/>
      <x:c r="D844" s="64" t="n">
        <x:f>Lot_paie!AD28</x:f>
        <x:v>0</x:v>
      </x:c>
      <x:c r="E844" s="64" t="str"/>
      <x:c r="F844" s="64" t="n">
        <x:f>Lot_paie!AD28</x:f>
        <x:v>0</x:v>
      </x:c>
      <x:c r="G844" s="66" t="str"/>
      <x:c r="H844" s="64" t="n">
        <x:f>Lot_paie!AL28</x:f>
        <x:v>0</x:v>
      </x:c>
    </x:row>
    <x:row r="845">
      <x:c r="A845" s="25" t="str">
        <x:v>860</x:v>
      </x:c>
      <x:c r="B845" s="25" t="str">
        <x:v>I.T.S</x:v>
      </x:c>
      <x:c r="C845" s="25" t="str"/>
      <x:c r="D845" s="64" t="n">
        <x:f>Lot_paie!AA28</x:f>
        <x:v>0</x:v>
      </x:c>
      <x:c r="E845" s="64" t="str"/>
      <x:c r="F845" s="64" t="n">
        <x:f>Lot_paie!AF28</x:f>
        <x:v>0</x:v>
      </x:c>
      <x:c r="G845" s="66" t="str"/>
      <x:c r="H845" s="64" t="str"/>
    </x:row>
    <x:row r="846">
      <x:c r="A846" s="25" t="str">
        <x:v>912</x:v>
      </x:c>
      <x:c r="B846" s="25" t="str">
        <x:v>Prestation Familiale</x:v>
      </x:c>
      <x:c r="C846" s="25" t="str"/>
      <x:c r="D846" s="64" t="n">
        <x:f>Parametres_Paie!$B$7</x:f>
        <x:v>75000</x:v>
      </x:c>
      <x:c r="E846" s="64" t="str"/>
      <x:c r="F846" s="64" t="str"/>
      <x:c r="G846" s="66" t="n">
        <x:f>Parametres_Paie!$B$8</x:f>
        <x:v>0.05</x:v>
      </x:c>
      <x:c r="H846" s="64" t="n">
        <x:f>Lot_paie!AI28</x:f>
        <x:v>0</x:v>
      </x:c>
    </x:row>
    <x:row r="847">
      <x:c r="A847" s="25" t="str">
        <x:v>913</x:v>
      </x:c>
      <x:c r="B847" s="25" t="str">
        <x:v>Accident de Travail</x:v>
      </x:c>
      <x:c r="C847" s="25" t="str"/>
      <x:c r="D847" s="64" t="n">
        <x:f>Parametres_Paie!$B$7</x:f>
        <x:v>75000</x:v>
      </x:c>
      <x:c r="E847" s="64" t="str"/>
      <x:c r="F847" s="64" t="str"/>
      <x:c r="G847" s="66" t="n">
        <x:f>Lot_paie!T28</x:f>
        <x:v>0.02</x:v>
      </x:c>
      <x:c r="H847" s="64" t="n">
        <x:f>Lot_paie!AJ28</x:f>
        <x:v>0</x:v>
      </x:c>
    </x:row>
    <x:row r="848">
      <x:c r="A848" s="25" t="str">
        <x:v>914</x:v>
      </x:c>
      <x:c r="B848" s="25" t="str">
        <x:v>Assurance Maternité</x:v>
      </x:c>
      <x:c r="C848" s="25" t="str"/>
      <x:c r="D848" s="64" t="n">
        <x:f>Parametres_Paie!$B$7</x:f>
        <x:v>75000</x:v>
      </x:c>
      <x:c r="E848" s="64" t="str"/>
      <x:c r="F848" s="64" t="str"/>
      <x:c r="G848" s="66" t="n">
        <x:f>Parametres_Paie!$B$9</x:f>
        <x:v>0.0075</x:v>
      </x:c>
      <x:c r="H848" s="64" t="n">
        <x:f>Lot_paie!AK28</x:f>
        <x:v>0</x:v>
      </x:c>
    </x:row>
    <x:row r="849">
      <x:c r="A849" s="25" t="str">
        <x:v>924</x:v>
      </x:c>
      <x:c r="B849" s="25" t="str">
        <x:v>I.S. Employeur Local</x:v>
      </x:c>
      <x:c r="C849" s="25" t="str"/>
      <x:c r="D849" s="64" t="n">
        <x:f>Lot_paie!AA28</x:f>
        <x:v>0</x:v>
      </x:c>
      <x:c r="E849" s="64" t="str"/>
      <x:c r="F849" s="64" t="str"/>
      <x:c r="G849" s="66" t="n">
        <x:f>Parametres_Paie!$B$15</x:f>
        <x:v>0.012</x:v>
      </x:c>
      <x:c r="H849" s="64" t="n">
        <x:f>Lot_paie!AM28</x:f>
        <x:v>0</x:v>
      </x:c>
    </x:row>
    <x:row r="850">
      <x:c r="A850" s="25" t="str">
        <x:v>930</x:v>
      </x:c>
      <x:c r="B850" s="25" t="str">
        <x:v>Taxe d’Apprentissage</x:v>
      </x:c>
      <x:c r="C850" s="25" t="str"/>
      <x:c r="D850" s="64" t="n">
        <x:f>Lot_paie!AA28</x:f>
        <x:v>0</x:v>
      </x:c>
      <x:c r="E850" s="64" t="str"/>
      <x:c r="F850" s="64" t="str"/>
      <x:c r="G850" s="66" t="n">
        <x:f>Parametres_Paie!$B$16</x:f>
        <x:v>0.004</x:v>
      </x:c>
      <x:c r="H850" s="64" t="n">
        <x:f>Lot_paie!AN28</x:f>
        <x:v>0</x:v>
      </x:c>
    </x:row>
    <x:row r="851">
      <x:c r="A851" s="25" t="str">
        <x:v>931</x:v>
      </x:c>
      <x:c r="B851" s="25" t="str">
        <x:v>Taxe Formation Professionnelle Continue</x:v>
      </x:c>
      <x:c r="C851" s="25" t="str"/>
      <x:c r="D851" s="64" t="n">
        <x:f>Lot_paie!AA28</x:f>
        <x:v>0</x:v>
      </x:c>
      <x:c r="E851" s="64" t="str"/>
      <x:c r="F851" s="64" t="str"/>
      <x:c r="G851" s="66" t="n">
        <x:f>Parametres_Paie!$B$17</x:f>
        <x:v>0.006</x:v>
      </x:c>
      <x:c r="H851" s="64" t="n">
        <x:f>Lot_paie!AO28</x:f>
        <x:v>0</x:v>
      </x:c>
    </x:row>
    <x:row r="852">
      <x:c r="A852" s="25" t="str">
        <x:v>932</x:v>
      </x:c>
      <x:c r="B852" s="25" t="str">
        <x:v>Taxe FPC Fin d’année</x:v>
      </x:c>
      <x:c r="C852" s="25" t="str"/>
      <x:c r="D852" s="64" t="n">
        <x:f>Lot_paie!AA28</x:f>
        <x:v>0</x:v>
      </x:c>
      <x:c r="E852" s="64" t="str"/>
      <x:c r="F852" s="64" t="str"/>
      <x:c r="G852" s="66" t="n">
        <x:f>Parametres_Paie!$B$18</x:f>
        <x:v>0.006</x:v>
      </x:c>
      <x:c r="H852" s="64" t="n">
        <x:f>Lot_paie!AP28</x:f>
        <x:v>0</x:v>
      </x:c>
    </x:row>
    <x:row r="853">
      <x:c r="A853" s="25" t="str"/>
      <x:c r="B853" s="83" t="str">
        <x:v>Total retenues fiscales et sociales</x:v>
      </x:c>
      <x:c r="C853" s="83" t="str"/>
      <x:c r="D853" s="84" t="str"/>
      <x:c r="E853" s="84" t="str"/>
      <x:c r="F853" s="84" t="n">
        <x:f>Lot_paie!AG28</x:f>
        <x:v>0</x:v>
      </x:c>
      <x:c r="G853" s="85" t="str"/>
      <x:c r="H853" s="84" t="n">
        <x:f>Lot_paie!AQ28</x:f>
        <x:v>0</x:v>
      </x:c>
    </x:row>
    <x:row r="854">
      <x:c r="A854" s="25" t="str">
        <x:v>204</x:v>
      </x:c>
      <x:c r="B854" s="25" t="str">
        <x:v>Indemnité Transport N. Imposable</x:v>
      </x:c>
      <x:c r="C854" s="25" t="str">
        <x:v>30</x:v>
      </x:c>
      <x:c r="D854" s="64" t="n">
        <x:f>Lot_paie!Y28</x:f>
        <x:v>0</x:v>
      </x:c>
      <x:c r="E854" s="64" t="str"/>
      <x:c r="F854" s="64" t="n">
        <x:f>Lot_paie!Y28</x:f>
        <x:v>0</x:v>
      </x:c>
      <x:c r="G854" s="66" t="str"/>
      <x:c r="H854" s="64" t="str"/>
    </x:row>
    <x:row r="855">
      <x:c r="A855" s="25" t="str"/>
      <x:c r="B855" s="25" t="str">
        <x:v>Total gains non imposables</x:v>
      </x:c>
      <x:c r="C855" s="25" t="str"/>
      <x:c r="D855" s="64" t="str"/>
      <x:c r="E855" s="64" t="str"/>
      <x:c r="F855" s="64" t="n">
        <x:f>Lot_paie!AR28</x:f>
        <x:v>0</x:v>
      </x:c>
      <x:c r="G855" s="66" t="str"/>
      <x:c r="H855" s="64" t="str"/>
    </x:row>
    <x:row r="856">
      <x:c r="A856" s="25" t="str"/>
      <x:c r="B856" s="110" t="str">
        <x:v>NET À PAYER</x:v>
      </x:c>
      <x:c r="C856" s="110" t="str"/>
      <x:c r="D856" s="111" t="str"/>
      <x:c r="E856" s="111" t="str"/>
      <x:c r="F856" s="111" t="str"/>
      <x:c r="G856" s="112" t="str"/>
      <x:c r="H856" s="111" t="n">
        <x:f>Lot_paie!AT28</x:f>
        <x:v>0</x:v>
      </x:c>
    </x:row>
    <x:row r="857">
      <x:c r="A857" s="25"/>
      <x:c r="B857" s="25"/>
      <x:c r="C857" s="25"/>
      <x:c r="D857" s="25"/>
      <x:c r="E857" s="25"/>
      <x:c r="F857" s="25"/>
      <x:c r="G857" s="25"/>
      <x:c r="H857" s="25"/>
    </x:row>
    <x:row r="858">
      <x:c r="A858" s="25"/>
      <x:c r="B858" s="25"/>
      <x:c r="C858" s="25"/>
      <x:c r="D858" s="25"/>
      <x:c r="E858" s="25"/>
      <x:c r="F858" s="25"/>
      <x:c r="G858" s="25"/>
      <x:c r="H858" s="25"/>
    </x:row>
    <x:row r="859">
      <x:c r="A859" s="25"/>
      <x:c r="B859" s="25"/>
      <x:c r="C859" s="25"/>
      <x:c r="D859" s="25"/>
      <x:c r="E859" s="25"/>
      <x:c r="F859" s="25"/>
      <x:c r="G859" s="25"/>
      <x:c r="H859" s="25"/>
    </x:row>
    <x:row r="860">
      <x:c r="A860" s="25"/>
      <x:c r="B860" s="25"/>
      <x:c r="C860" s="25"/>
      <x:c r="D860" s="25"/>
      <x:c r="E860" s="25"/>
      <x:c r="F860" s="25"/>
      <x:c r="G860" s="25"/>
      <x:c r="H860" s="25"/>
    </x:row>
    <x:row r="861">
      <x:c r="A861" s="25"/>
      <x:c r="B861" s="25"/>
      <x:c r="C861" s="25"/>
      <x:c r="D861" s="25"/>
      <x:c r="E861" s="25"/>
      <x:c r="F861" s="25"/>
      <x:c r="G861" s="25"/>
      <x:c r="H861" s="25"/>
    </x:row>
    <x:row r="862">
      <x:c r="A862" s="25"/>
      <x:c r="B862" s="25"/>
      <x:c r="C862" s="25"/>
      <x:c r="D862" s="25"/>
      <x:c r="E862" s="25"/>
      <x:c r="F862" s="25"/>
      <x:c r="G862" s="25"/>
      <x:c r="H862" s="25"/>
    </x:row>
    <x:row r="863">
      <x:c r="A863" s="25"/>
      <x:c r="B863" s="25"/>
      <x:c r="C863" s="25"/>
      <x:c r="D863" s="25"/>
      <x:c r="E863" s="25"/>
      <x:c r="F863" s="25"/>
      <x:c r="G863" s="25"/>
      <x:c r="H863" s="25"/>
    </x:row>
    <x:row r="865">
      <x:c r="A865" s="108" t="str">
        <x:v>BULLETIN DE PAIE – AAEA / AfWASA</x:v>
      </x:c>
      <x:c r="B865" s="108"/>
      <x:c r="C865" s="108"/>
      <x:c r="D865" s="108"/>
      <x:c r="E865" s="108"/>
      <x:c r="F865" s="108"/>
      <x:c r="G865" s="108"/>
      <x:c r="H865" s="108"/>
    </x:row>
    <x:row r="866">
      <x:c r="A866" s="25" t="str">
        <x:v>Matricule</x:v>
      </x:c>
      <x:c r="B866" s="25" t="str">
        <x:f>Lot_paie!A29</x:f>
        <x:v>0096A</x:v>
      </x:c>
      <x:c r="C866" s="25" t="str">
        <x:v>Période</x:v>
      </x:c>
      <x:c r="D866" s="25" t="str">
        <x:f>Parametres_Paie!$B$26</x:f>
        <x:v>Janvier 2025</x:v>
      </x:c>
      <x:c r="E866" s="25" t="str">
        <x:v>Paiement</x:v>
      </x:c>
      <x:c r="F866" s="25" t="n">
        <x:f>Parametres_Paie!$B$25</x:f>
        <x:v>45688</x:v>
      </x:c>
      <x:c r="G866" s="25" t="str"/>
      <x:c r="H866" s="25" t="str"/>
    </x:row>
    <x:row r="867">
      <x:c r="A867" s="25" t="str">
        <x:v>Nom et prénom</x:v>
      </x:c>
      <x:c r="B867" s="25" t="str">
        <x:f>Lot_paie!B29&amp;" "&amp;Lot_paie!C29</x:f>
        <x:v>FADIGA Aboulaye</x:v>
      </x:c>
      <x:c r="C867" s="25" t="str">
        <x:v>Poste</x:v>
      </x:c>
      <x:c r="D867" s="25" t="str">
        <x:f>Lot_paie!F29</x:f>
        <x:v>Assistant Achats</x:v>
      </x:c>
      <x:c r="E867" s="25" t="str">
        <x:v>CNPS</x:v>
      </x:c>
      <x:c r="F867" s="25" t="n">
        <x:f>Lot_paie!J29</x:f>
        <x:v>186011269150</x:v>
      </x:c>
      <x:c r="G867" s="25" t="str"/>
      <x:c r="H867" s="25" t="str"/>
    </x:row>
    <x:row r="868">
      <x:c r="A868" s="25" t="str">
        <x:v>Direction</x:v>
      </x:c>
      <x:c r="B868" s="25" t="str">
        <x:f>Lot_paie!D29</x:f>
        <x:v>Direction Administrative et Financière</x:v>
      </x:c>
      <x:c r="C868" s="25" t="str">
        <x:v>Date entrée</x:v>
      </x:c>
      <x:c r="D868" s="25" t="n">
        <x:f>Lot_paie!I29</x:f>
        <x:v>45139</x:v>
      </x:c>
      <x:c r="E868" s="25" t="str">
        <x:v>Ancienneté</x:v>
      </x:c>
      <x:c r="F868" s="25" t="str">
        <x:f>Lot_paie!V29</x:f>
        <x:v>1 ans (calcul période)</x:v>
      </x:c>
      <x:c r="G868" s="25" t="str"/>
      <x:c r="H868" s="25" t="str"/>
    </x:row>
    <x:row r="869">
      <x:c r="A869" s="25"/>
      <x:c r="B869" s="25"/>
      <x:c r="C869" s="25"/>
      <x:c r="D869" s="25"/>
      <x:c r="E869" s="25"/>
      <x:c r="F869" s="25"/>
      <x:c r="G869" s="25"/>
      <x:c r="H869" s="25"/>
    </x:row>
    <x:row r="870">
      <x:c r="A870" s="14" t="str">
        <x:v>N°</x:v>
      </x:c>
      <x:c r="B870" s="14" t="str">
        <x:v>Désignation</x:v>
      </x:c>
      <x:c r="C870" s="14" t="str">
        <x:v>Nombre</x:v>
      </x:c>
      <x:c r="D870" s="14" t="str">
        <x:v>Base</x:v>
      </x:c>
      <x:c r="E870" s="14" t="str">
        <x:v>Taux Sal.</x:v>
      </x:c>
      <x:c r="F870" s="14" t="str">
        <x:v>Ret. Sal.</x:v>
      </x:c>
      <x:c r="G870" s="14" t="str">
        <x:v>Taux Pat.</x:v>
      </x:c>
      <x:c r="H870" s="14" t="str">
        <x:v>Ret. Pat.</x:v>
      </x:c>
    </x:row>
    <x:row r="871">
      <x:c r="A871" s="25" t="str">
        <x:v>100</x:v>
      </x:c>
      <x:c r="B871" s="25" t="str">
        <x:v>Salaire de base</x:v>
      </x:c>
      <x:c r="C871" s="25" t="str">
        <x:v>30</x:v>
      </x:c>
      <x:c r="D871" s="64" t="n">
        <x:f>Lot_paie!K29</x:f>
        <x:v>0</x:v>
      </x:c>
      <x:c r="E871" s="64" t="str"/>
      <x:c r="F871" s="64" t="str"/>
      <x:c r="G871" s="64" t="str"/>
      <x:c r="H871" s="64" t="str"/>
    </x:row>
    <x:row r="872">
      <x:c r="A872" s="25" t="str">
        <x:v>110</x:v>
      </x:c>
      <x:c r="B872" s="25" t="str">
        <x:v>Sursalaire</x:v>
      </x:c>
      <x:c r="C872" s="25" t="str">
        <x:v>30</x:v>
      </x:c>
      <x:c r="D872" s="64" t="n">
        <x:f>Lot_paie!L29</x:f>
        <x:v>0</x:v>
      </x:c>
      <x:c r="E872" s="64" t="str"/>
      <x:c r="F872" s="64" t="str"/>
      <x:c r="G872" s="64" t="str"/>
      <x:c r="H872" s="64" t="str"/>
    </x:row>
    <x:row r="873">
      <x:c r="A873" s="25" t="str">
        <x:v>120</x:v>
      </x:c>
      <x:c r="B873" s="25" t="str">
        <x:v>Prime ancienneté</x:v>
      </x:c>
      <x:c r="C873" s="25" t="n">
        <x:f>Lot_paie!U29</x:f>
        <x:v>1</x:v>
      </x:c>
      <x:c r="D873" s="64" t="n">
        <x:f>Lot_paie!X29</x:f>
        <x:v>0</x:v>
      </x:c>
      <x:c r="E873" s="64" t="str"/>
      <x:c r="F873" s="64" t="str"/>
      <x:c r="G873" s="64" t="str"/>
      <x:c r="H873" s="64" t="str"/>
    </x:row>
    <x:row r="874">
      <x:c r="A874" s="25" t="str"/>
      <x:c r="B874" s="24" t="str">
        <x:v>Total brut imposable</x:v>
      </x:c>
      <x:c r="C874" s="24" t="str"/>
      <x:c r="D874" s="76" t="str"/>
      <x:c r="E874" s="76" t="str"/>
      <x:c r="F874" s="76" t="n">
        <x:f>Lot_paie!AA29</x:f>
        <x:v>0</x:v>
      </x:c>
      <x:c r="G874" s="76" t="str"/>
      <x:c r="H874" s="76" t="str"/>
    </x:row>
    <x:row r="875">
      <x:c r="A875" s="25" t="str">
        <x:v>810</x:v>
      </x:c>
      <x:c r="B875" s="25" t="str">
        <x:v>C.N.P.S.</x:v>
      </x:c>
      <x:c r="C875" s="25" t="str"/>
      <x:c r="D875" s="64" t="n">
        <x:f>Lot_paie!AB29</x:f>
        <x:v>0</x:v>
      </x:c>
      <x:c r="E875" s="66" t="n">
        <x:f>Parametres_Paie!$B$4</x:f>
        <x:v>0.063</x:v>
      </x:c>
      <x:c r="F875" s="64" t="n">
        <x:f>Lot_paie!AC29</x:f>
        <x:v>0</x:v>
      </x:c>
      <x:c r="G875" s="66" t="n">
        <x:f>Parametres_Paie!$B$5</x:f>
        <x:v>0.077</x:v>
      </x:c>
      <x:c r="H875" s="64" t="n">
        <x:f>Lot_paie!AH29</x:f>
        <x:v>0</x:v>
      </x:c>
    </x:row>
    <x:row r="876">
      <x:c r="A876" s="25" t="str">
        <x:v>815</x:v>
      </x:c>
      <x:c r="B876" s="25" t="str">
        <x:v>Retenue CMU employé</x:v>
      </x:c>
      <x:c r="C876" s="25" t="str"/>
      <x:c r="D876" s="64" t="n">
        <x:f>Lot_paie!AD29</x:f>
        <x:v>0</x:v>
      </x:c>
      <x:c r="E876" s="64" t="str"/>
      <x:c r="F876" s="64" t="n">
        <x:f>Lot_paie!AD29</x:f>
        <x:v>0</x:v>
      </x:c>
      <x:c r="G876" s="66" t="str"/>
      <x:c r="H876" s="64" t="n">
        <x:f>Lot_paie!AL29</x:f>
        <x:v>0</x:v>
      </x:c>
    </x:row>
    <x:row r="877">
      <x:c r="A877" s="25" t="str">
        <x:v>860</x:v>
      </x:c>
      <x:c r="B877" s="25" t="str">
        <x:v>I.T.S</x:v>
      </x:c>
      <x:c r="C877" s="25" t="str"/>
      <x:c r="D877" s="64" t="n">
        <x:f>Lot_paie!AA29</x:f>
        <x:v>0</x:v>
      </x:c>
      <x:c r="E877" s="64" t="str"/>
      <x:c r="F877" s="64" t="n">
        <x:f>Lot_paie!AF29</x:f>
        <x:v>0</x:v>
      </x:c>
      <x:c r="G877" s="66" t="str"/>
      <x:c r="H877" s="64" t="str"/>
    </x:row>
    <x:row r="878">
      <x:c r="A878" s="25" t="str">
        <x:v>912</x:v>
      </x:c>
      <x:c r="B878" s="25" t="str">
        <x:v>Prestation Familiale</x:v>
      </x:c>
      <x:c r="C878" s="25" t="str"/>
      <x:c r="D878" s="64" t="n">
        <x:f>Parametres_Paie!$B$7</x:f>
        <x:v>75000</x:v>
      </x:c>
      <x:c r="E878" s="64" t="str"/>
      <x:c r="F878" s="64" t="str"/>
      <x:c r="G878" s="66" t="n">
        <x:f>Parametres_Paie!$B$8</x:f>
        <x:v>0.05</x:v>
      </x:c>
      <x:c r="H878" s="64" t="n">
        <x:f>Lot_paie!AI29</x:f>
        <x:v>0</x:v>
      </x:c>
    </x:row>
    <x:row r="879">
      <x:c r="A879" s="25" t="str">
        <x:v>913</x:v>
      </x:c>
      <x:c r="B879" s="25" t="str">
        <x:v>Accident de Travail</x:v>
      </x:c>
      <x:c r="C879" s="25" t="str"/>
      <x:c r="D879" s="64" t="n">
        <x:f>Parametres_Paie!$B$7</x:f>
        <x:v>75000</x:v>
      </x:c>
      <x:c r="E879" s="64" t="str"/>
      <x:c r="F879" s="64" t="str"/>
      <x:c r="G879" s="66" t="n">
        <x:f>Lot_paie!T29</x:f>
        <x:v>0.02</x:v>
      </x:c>
      <x:c r="H879" s="64" t="n">
        <x:f>Lot_paie!AJ29</x:f>
        <x:v>0</x:v>
      </x:c>
    </x:row>
    <x:row r="880">
      <x:c r="A880" s="25" t="str">
        <x:v>914</x:v>
      </x:c>
      <x:c r="B880" s="25" t="str">
        <x:v>Assurance Maternité</x:v>
      </x:c>
      <x:c r="C880" s="25" t="str"/>
      <x:c r="D880" s="64" t="n">
        <x:f>Parametres_Paie!$B$7</x:f>
        <x:v>75000</x:v>
      </x:c>
      <x:c r="E880" s="64" t="str"/>
      <x:c r="F880" s="64" t="str"/>
      <x:c r="G880" s="66" t="n">
        <x:f>Parametres_Paie!$B$9</x:f>
        <x:v>0.0075</x:v>
      </x:c>
      <x:c r="H880" s="64" t="n">
        <x:f>Lot_paie!AK29</x:f>
        <x:v>0</x:v>
      </x:c>
    </x:row>
    <x:row r="881">
      <x:c r="A881" s="25" t="str">
        <x:v>924</x:v>
      </x:c>
      <x:c r="B881" s="25" t="str">
        <x:v>I.S. Employeur Local</x:v>
      </x:c>
      <x:c r="C881" s="25" t="str"/>
      <x:c r="D881" s="64" t="n">
        <x:f>Lot_paie!AA29</x:f>
        <x:v>0</x:v>
      </x:c>
      <x:c r="E881" s="64" t="str"/>
      <x:c r="F881" s="64" t="str"/>
      <x:c r="G881" s="66" t="n">
        <x:f>Parametres_Paie!$B$15</x:f>
        <x:v>0.012</x:v>
      </x:c>
      <x:c r="H881" s="64" t="n">
        <x:f>Lot_paie!AM29</x:f>
        <x:v>0</x:v>
      </x:c>
    </x:row>
    <x:row r="882">
      <x:c r="A882" s="25" t="str">
        <x:v>930</x:v>
      </x:c>
      <x:c r="B882" s="25" t="str">
        <x:v>Taxe d’Apprentissage</x:v>
      </x:c>
      <x:c r="C882" s="25" t="str"/>
      <x:c r="D882" s="64" t="n">
        <x:f>Lot_paie!AA29</x:f>
        <x:v>0</x:v>
      </x:c>
      <x:c r="E882" s="64" t="str"/>
      <x:c r="F882" s="64" t="str"/>
      <x:c r="G882" s="66" t="n">
        <x:f>Parametres_Paie!$B$16</x:f>
        <x:v>0.004</x:v>
      </x:c>
      <x:c r="H882" s="64" t="n">
        <x:f>Lot_paie!AN29</x:f>
        <x:v>0</x:v>
      </x:c>
    </x:row>
    <x:row r="883">
      <x:c r="A883" s="25" t="str">
        <x:v>931</x:v>
      </x:c>
      <x:c r="B883" s="25" t="str">
        <x:v>Taxe Formation Professionnelle Continue</x:v>
      </x:c>
      <x:c r="C883" s="25" t="str"/>
      <x:c r="D883" s="64" t="n">
        <x:f>Lot_paie!AA29</x:f>
        <x:v>0</x:v>
      </x:c>
      <x:c r="E883" s="64" t="str"/>
      <x:c r="F883" s="64" t="str"/>
      <x:c r="G883" s="66" t="n">
        <x:f>Parametres_Paie!$B$17</x:f>
        <x:v>0.006</x:v>
      </x:c>
      <x:c r="H883" s="64" t="n">
        <x:f>Lot_paie!AO29</x:f>
        <x:v>0</x:v>
      </x:c>
    </x:row>
    <x:row r="884">
      <x:c r="A884" s="25" t="str">
        <x:v>932</x:v>
      </x:c>
      <x:c r="B884" s="25" t="str">
        <x:v>Taxe FPC Fin d’année</x:v>
      </x:c>
      <x:c r="C884" s="25" t="str"/>
      <x:c r="D884" s="64" t="n">
        <x:f>Lot_paie!AA29</x:f>
        <x:v>0</x:v>
      </x:c>
      <x:c r="E884" s="64" t="str"/>
      <x:c r="F884" s="64" t="str"/>
      <x:c r="G884" s="66" t="n">
        <x:f>Parametres_Paie!$B$18</x:f>
        <x:v>0.006</x:v>
      </x:c>
      <x:c r="H884" s="64" t="n">
        <x:f>Lot_paie!AP29</x:f>
        <x:v>0</x:v>
      </x:c>
    </x:row>
    <x:row r="885">
      <x:c r="A885" s="25" t="str"/>
      <x:c r="B885" s="83" t="str">
        <x:v>Total retenues fiscales et sociales</x:v>
      </x:c>
      <x:c r="C885" s="83" t="str"/>
      <x:c r="D885" s="84" t="str"/>
      <x:c r="E885" s="84" t="str"/>
      <x:c r="F885" s="84" t="n">
        <x:f>Lot_paie!AG29</x:f>
        <x:v>0</x:v>
      </x:c>
      <x:c r="G885" s="85" t="str"/>
      <x:c r="H885" s="84" t="n">
        <x:f>Lot_paie!AQ29</x:f>
        <x:v>0</x:v>
      </x:c>
    </x:row>
    <x:row r="886">
      <x:c r="A886" s="25" t="str">
        <x:v>204</x:v>
      </x:c>
      <x:c r="B886" s="25" t="str">
        <x:v>Indemnité Transport N. Imposable</x:v>
      </x:c>
      <x:c r="C886" s="25" t="str">
        <x:v>30</x:v>
      </x:c>
      <x:c r="D886" s="64" t="n">
        <x:f>Lot_paie!Y29</x:f>
        <x:v>0</x:v>
      </x:c>
      <x:c r="E886" s="64" t="str"/>
      <x:c r="F886" s="64" t="n">
        <x:f>Lot_paie!Y29</x:f>
        <x:v>0</x:v>
      </x:c>
      <x:c r="G886" s="66" t="str"/>
      <x:c r="H886" s="64" t="str"/>
    </x:row>
    <x:row r="887">
      <x:c r="A887" s="25" t="str"/>
      <x:c r="B887" s="25" t="str">
        <x:v>Total gains non imposables</x:v>
      </x:c>
      <x:c r="C887" s="25" t="str"/>
      <x:c r="D887" s="64" t="str"/>
      <x:c r="E887" s="64" t="str"/>
      <x:c r="F887" s="64" t="n">
        <x:f>Lot_paie!AR29</x:f>
        <x:v>0</x:v>
      </x:c>
      <x:c r="G887" s="66" t="str"/>
      <x:c r="H887" s="64" t="str"/>
    </x:row>
    <x:row r="888">
      <x:c r="A888" s="25" t="str"/>
      <x:c r="B888" s="110" t="str">
        <x:v>NET À PAYER</x:v>
      </x:c>
      <x:c r="C888" s="110" t="str"/>
      <x:c r="D888" s="111" t="str"/>
      <x:c r="E888" s="111" t="str"/>
      <x:c r="F888" s="111" t="str"/>
      <x:c r="G888" s="112" t="str"/>
      <x:c r="H888" s="111" t="n">
        <x:f>Lot_paie!AT29</x:f>
        <x:v>0</x:v>
      </x:c>
    </x:row>
    <x:row r="889">
      <x:c r="A889" s="25"/>
      <x:c r="B889" s="25"/>
      <x:c r="C889" s="25"/>
      <x:c r="D889" s="25"/>
      <x:c r="E889" s="25"/>
      <x:c r="F889" s="25"/>
      <x:c r="G889" s="25"/>
      <x:c r="H889" s="25"/>
    </x:row>
    <x:row r="890">
      <x:c r="A890" s="25"/>
      <x:c r="B890" s="25"/>
      <x:c r="C890" s="25"/>
      <x:c r="D890" s="25"/>
      <x:c r="E890" s="25"/>
      <x:c r="F890" s="25"/>
      <x:c r="G890" s="25"/>
      <x:c r="H890" s="25"/>
    </x:row>
    <x:row r="891">
      <x:c r="A891" s="25"/>
      <x:c r="B891" s="25"/>
      <x:c r="C891" s="25"/>
      <x:c r="D891" s="25"/>
      <x:c r="E891" s="25"/>
      <x:c r="F891" s="25"/>
      <x:c r="G891" s="25"/>
      <x:c r="H891" s="25"/>
    </x:row>
    <x:row r="892">
      <x:c r="A892" s="25"/>
      <x:c r="B892" s="25"/>
      <x:c r="C892" s="25"/>
      <x:c r="D892" s="25"/>
      <x:c r="E892" s="25"/>
      <x:c r="F892" s="25"/>
      <x:c r="G892" s="25"/>
      <x:c r="H892" s="25"/>
    </x:row>
    <x:row r="893">
      <x:c r="A893" s="25"/>
      <x:c r="B893" s="25"/>
      <x:c r="C893" s="25"/>
      <x:c r="D893" s="25"/>
      <x:c r="E893" s="25"/>
      <x:c r="F893" s="25"/>
      <x:c r="G893" s="25"/>
      <x:c r="H893" s="25"/>
    </x:row>
    <x:row r="894">
      <x:c r="A894" s="25"/>
      <x:c r="B894" s="25"/>
      <x:c r="C894" s="25"/>
      <x:c r="D894" s="25"/>
      <x:c r="E894" s="25"/>
      <x:c r="F894" s="25"/>
      <x:c r="G894" s="25"/>
      <x:c r="H894" s="25"/>
    </x:row>
    <x:row r="895">
      <x:c r="A895" s="25"/>
      <x:c r="B895" s="25"/>
      <x:c r="C895" s="25"/>
      <x:c r="D895" s="25"/>
      <x:c r="E895" s="25"/>
      <x:c r="F895" s="25"/>
      <x:c r="G895" s="25"/>
      <x:c r="H895" s="25"/>
    </x:row>
    <x:row r="897">
      <x:c r="A897" s="108" t="str">
        <x:v>BULLETIN DE PAIE – AAEA / AfWASA</x:v>
      </x:c>
      <x:c r="B897" s="108"/>
      <x:c r="C897" s="108"/>
      <x:c r="D897" s="108"/>
      <x:c r="E897" s="108"/>
      <x:c r="F897" s="108"/>
      <x:c r="G897" s="108"/>
      <x:c r="H897" s="108"/>
    </x:row>
    <x:row r="898">
      <x:c r="A898" s="25" t="str">
        <x:v>Matricule</x:v>
      </x:c>
      <x:c r="B898" s="25" t="str">
        <x:f>Lot_paie!A30</x:f>
        <x:v>0098S</x:v>
      </x:c>
      <x:c r="C898" s="25" t="str">
        <x:v>Période</x:v>
      </x:c>
      <x:c r="D898" s="25" t="str">
        <x:f>Parametres_Paie!$B$26</x:f>
        <x:v>Janvier 2025</x:v>
      </x:c>
      <x:c r="E898" s="25" t="str">
        <x:v>Paiement</x:v>
      </x:c>
      <x:c r="F898" s="25" t="n">
        <x:f>Parametres_Paie!$B$25</x:f>
        <x:v>45688</x:v>
      </x:c>
      <x:c r="G898" s="25" t="str"/>
      <x:c r="H898" s="25" t="str"/>
    </x:row>
    <x:row r="899">
      <x:c r="A899" s="25" t="str">
        <x:v>Nom et prénom</x:v>
      </x:c>
      <x:c r="B899" s="25" t="str">
        <x:f>Lot_paie!B30&amp;" "&amp;Lot_paie!C30</x:f>
        <x:v>MUSIIME Julian</x:v>
      </x:c>
      <x:c r="C899" s="25" t="str">
        <x:v>Poste</x:v>
      </x:c>
      <x:c r="D899" s="25" t="str">
        <x:f>Lot_paie!F30</x:f>
        <x:v>Chargée de Programme Assainissement</x:v>
      </x:c>
      <x:c r="E899" s="25" t="str">
        <x:v>CNPS</x:v>
      </x:c>
      <x:c r="F899" s="25" t="n">
        <x:f>Lot_paie!J30</x:f>
        <x:v>202300121456</x:v>
      </x:c>
      <x:c r="G899" s="25" t="str"/>
      <x:c r="H899" s="25" t="str"/>
    </x:row>
    <x:row r="900">
      <x:c r="A900" s="25" t="str">
        <x:v>Direction</x:v>
      </x:c>
      <x:c r="B900" s="25" t="str">
        <x:f>Lot_paie!D30</x:f>
        <x:v>Direction des Services aux Membres et des Programmes</x:v>
      </x:c>
      <x:c r="C900" s="25" t="str">
        <x:v>Date entrée</x:v>
      </x:c>
      <x:c r="D900" s="25" t="n">
        <x:f>Lot_paie!I30</x:f>
        <x:v>45170</x:v>
      </x:c>
      <x:c r="E900" s="25" t="str">
        <x:v>Ancienneté</x:v>
      </x:c>
      <x:c r="F900" s="25" t="str">
        <x:f>Lot_paie!V30</x:f>
        <x:v>1 ans (calcul période)</x:v>
      </x:c>
      <x:c r="G900" s="25" t="str"/>
      <x:c r="H900" s="25" t="str"/>
    </x:row>
    <x:row r="901">
      <x:c r="A901" s="25"/>
      <x:c r="B901" s="25"/>
      <x:c r="C901" s="25"/>
      <x:c r="D901" s="25"/>
      <x:c r="E901" s="25"/>
      <x:c r="F901" s="25"/>
      <x:c r="G901" s="25"/>
      <x:c r="H901" s="25"/>
    </x:row>
    <x:row r="902">
      <x:c r="A902" s="14" t="str">
        <x:v>N°</x:v>
      </x:c>
      <x:c r="B902" s="14" t="str">
        <x:v>Désignation</x:v>
      </x:c>
      <x:c r="C902" s="14" t="str">
        <x:v>Nombre</x:v>
      </x:c>
      <x:c r="D902" s="14" t="str">
        <x:v>Base</x:v>
      </x:c>
      <x:c r="E902" s="14" t="str">
        <x:v>Taux Sal.</x:v>
      </x:c>
      <x:c r="F902" s="14" t="str">
        <x:v>Ret. Sal.</x:v>
      </x:c>
      <x:c r="G902" s="14" t="str">
        <x:v>Taux Pat.</x:v>
      </x:c>
      <x:c r="H902" s="14" t="str">
        <x:v>Ret. Pat.</x:v>
      </x:c>
    </x:row>
    <x:row r="903">
      <x:c r="A903" s="25" t="str">
        <x:v>100</x:v>
      </x:c>
      <x:c r="B903" s="25" t="str">
        <x:v>Salaire de base</x:v>
      </x:c>
      <x:c r="C903" s="25" t="str">
        <x:v>30</x:v>
      </x:c>
      <x:c r="D903" s="64" t="n">
        <x:f>Lot_paie!K30</x:f>
        <x:v>0</x:v>
      </x:c>
      <x:c r="E903" s="64" t="str"/>
      <x:c r="F903" s="64" t="str"/>
      <x:c r="G903" s="64" t="str"/>
      <x:c r="H903" s="64" t="str"/>
    </x:row>
    <x:row r="904">
      <x:c r="A904" s="25" t="str">
        <x:v>110</x:v>
      </x:c>
      <x:c r="B904" s="25" t="str">
        <x:v>Sursalaire</x:v>
      </x:c>
      <x:c r="C904" s="25" t="str">
        <x:v>30</x:v>
      </x:c>
      <x:c r="D904" s="64" t="n">
        <x:f>Lot_paie!L30</x:f>
        <x:v>0</x:v>
      </x:c>
      <x:c r="E904" s="64" t="str"/>
      <x:c r="F904" s="64" t="str"/>
      <x:c r="G904" s="64" t="str"/>
      <x:c r="H904" s="64" t="str"/>
    </x:row>
    <x:row r="905">
      <x:c r="A905" s="25" t="str">
        <x:v>120</x:v>
      </x:c>
      <x:c r="B905" s="25" t="str">
        <x:v>Prime ancienneté</x:v>
      </x:c>
      <x:c r="C905" s="25" t="n">
        <x:f>Lot_paie!U30</x:f>
        <x:v>1</x:v>
      </x:c>
      <x:c r="D905" s="64" t="n">
        <x:f>Lot_paie!X30</x:f>
        <x:v>0</x:v>
      </x:c>
      <x:c r="E905" s="64" t="str"/>
      <x:c r="F905" s="64" t="str"/>
      <x:c r="G905" s="64" t="str"/>
      <x:c r="H905" s="64" t="str"/>
    </x:row>
    <x:row r="906">
      <x:c r="A906" s="25" t="str"/>
      <x:c r="B906" s="24" t="str">
        <x:v>Total brut imposable</x:v>
      </x:c>
      <x:c r="C906" s="24" t="str"/>
      <x:c r="D906" s="76" t="str"/>
      <x:c r="E906" s="76" t="str"/>
      <x:c r="F906" s="76" t="n">
        <x:f>Lot_paie!AA30</x:f>
        <x:v>0</x:v>
      </x:c>
      <x:c r="G906" s="76" t="str"/>
      <x:c r="H906" s="76" t="str"/>
    </x:row>
    <x:row r="907">
      <x:c r="A907" s="25" t="str">
        <x:v>810</x:v>
      </x:c>
      <x:c r="B907" s="25" t="str">
        <x:v>C.N.P.S.</x:v>
      </x:c>
      <x:c r="C907" s="25" t="str"/>
      <x:c r="D907" s="64" t="n">
        <x:f>Lot_paie!AB30</x:f>
        <x:v>0</x:v>
      </x:c>
      <x:c r="E907" s="66" t="n">
        <x:f>Parametres_Paie!$B$4</x:f>
        <x:v>0.063</x:v>
      </x:c>
      <x:c r="F907" s="64" t="n">
        <x:f>Lot_paie!AC30</x:f>
        <x:v>0</x:v>
      </x:c>
      <x:c r="G907" s="66" t="n">
        <x:f>Parametres_Paie!$B$5</x:f>
        <x:v>0.077</x:v>
      </x:c>
      <x:c r="H907" s="64" t="n">
        <x:f>Lot_paie!AH30</x:f>
        <x:v>0</x:v>
      </x:c>
    </x:row>
    <x:row r="908">
      <x:c r="A908" s="25" t="str">
        <x:v>815</x:v>
      </x:c>
      <x:c r="B908" s="25" t="str">
        <x:v>Retenue CMU employé</x:v>
      </x:c>
      <x:c r="C908" s="25" t="str"/>
      <x:c r="D908" s="64" t="n">
        <x:f>Lot_paie!AD30</x:f>
        <x:v>0</x:v>
      </x:c>
      <x:c r="E908" s="64" t="str"/>
      <x:c r="F908" s="64" t="n">
        <x:f>Lot_paie!AD30</x:f>
        <x:v>0</x:v>
      </x:c>
      <x:c r="G908" s="66" t="str"/>
      <x:c r="H908" s="64" t="n">
        <x:f>Lot_paie!AL30</x:f>
        <x:v>0</x:v>
      </x:c>
    </x:row>
    <x:row r="909">
      <x:c r="A909" s="25" t="str">
        <x:v>860</x:v>
      </x:c>
      <x:c r="B909" s="25" t="str">
        <x:v>I.T.S</x:v>
      </x:c>
      <x:c r="C909" s="25" t="str"/>
      <x:c r="D909" s="64" t="n">
        <x:f>Lot_paie!AA30</x:f>
        <x:v>0</x:v>
      </x:c>
      <x:c r="E909" s="64" t="str"/>
      <x:c r="F909" s="64" t="n">
        <x:f>Lot_paie!AF30</x:f>
        <x:v>0</x:v>
      </x:c>
      <x:c r="G909" s="66" t="str"/>
      <x:c r="H909" s="64" t="str"/>
    </x:row>
    <x:row r="910">
      <x:c r="A910" s="25" t="str">
        <x:v>912</x:v>
      </x:c>
      <x:c r="B910" s="25" t="str">
        <x:v>Prestation Familiale</x:v>
      </x:c>
      <x:c r="C910" s="25" t="str"/>
      <x:c r="D910" s="64" t="n">
        <x:f>Parametres_Paie!$B$7</x:f>
        <x:v>75000</x:v>
      </x:c>
      <x:c r="E910" s="64" t="str"/>
      <x:c r="F910" s="64" t="str"/>
      <x:c r="G910" s="66" t="n">
        <x:f>Parametres_Paie!$B$8</x:f>
        <x:v>0.05</x:v>
      </x:c>
      <x:c r="H910" s="64" t="n">
        <x:f>Lot_paie!AI30</x:f>
        <x:v>0</x:v>
      </x:c>
    </x:row>
    <x:row r="911">
      <x:c r="A911" s="25" t="str">
        <x:v>913</x:v>
      </x:c>
      <x:c r="B911" s="25" t="str">
        <x:v>Accident de Travail</x:v>
      </x:c>
      <x:c r="C911" s="25" t="str"/>
      <x:c r="D911" s="64" t="n">
        <x:f>Parametres_Paie!$B$7</x:f>
        <x:v>75000</x:v>
      </x:c>
      <x:c r="E911" s="64" t="str"/>
      <x:c r="F911" s="64" t="str"/>
      <x:c r="G911" s="66" t="n">
        <x:f>Lot_paie!T30</x:f>
        <x:v>0.02</x:v>
      </x:c>
      <x:c r="H911" s="64" t="n">
        <x:f>Lot_paie!AJ30</x:f>
        <x:v>0</x:v>
      </x:c>
    </x:row>
    <x:row r="912">
      <x:c r="A912" s="25" t="str">
        <x:v>914</x:v>
      </x:c>
      <x:c r="B912" s="25" t="str">
        <x:v>Assurance Maternité</x:v>
      </x:c>
      <x:c r="C912" s="25" t="str"/>
      <x:c r="D912" s="64" t="n">
        <x:f>Parametres_Paie!$B$7</x:f>
        <x:v>75000</x:v>
      </x:c>
      <x:c r="E912" s="64" t="str"/>
      <x:c r="F912" s="64" t="str"/>
      <x:c r="G912" s="66" t="n">
        <x:f>Parametres_Paie!$B$9</x:f>
        <x:v>0.0075</x:v>
      </x:c>
      <x:c r="H912" s="64" t="n">
        <x:f>Lot_paie!AK30</x:f>
        <x:v>0</x:v>
      </x:c>
    </x:row>
    <x:row r="913">
      <x:c r="A913" s="25" t="str">
        <x:v>924</x:v>
      </x:c>
      <x:c r="B913" s="25" t="str">
        <x:v>I.S. Employeur Local</x:v>
      </x:c>
      <x:c r="C913" s="25" t="str"/>
      <x:c r="D913" s="64" t="n">
        <x:f>Lot_paie!AA30</x:f>
        <x:v>0</x:v>
      </x:c>
      <x:c r="E913" s="64" t="str"/>
      <x:c r="F913" s="64" t="str"/>
      <x:c r="G913" s="66" t="n">
        <x:f>Parametres_Paie!$B$15</x:f>
        <x:v>0.012</x:v>
      </x:c>
      <x:c r="H913" s="64" t="n">
        <x:f>Lot_paie!AM30</x:f>
        <x:v>0</x:v>
      </x:c>
    </x:row>
    <x:row r="914">
      <x:c r="A914" s="25" t="str">
        <x:v>930</x:v>
      </x:c>
      <x:c r="B914" s="25" t="str">
        <x:v>Taxe d’Apprentissage</x:v>
      </x:c>
      <x:c r="C914" s="25" t="str"/>
      <x:c r="D914" s="64" t="n">
        <x:f>Lot_paie!AA30</x:f>
        <x:v>0</x:v>
      </x:c>
      <x:c r="E914" s="64" t="str"/>
      <x:c r="F914" s="64" t="str"/>
      <x:c r="G914" s="66" t="n">
        <x:f>Parametres_Paie!$B$16</x:f>
        <x:v>0.004</x:v>
      </x:c>
      <x:c r="H914" s="64" t="n">
        <x:f>Lot_paie!AN30</x:f>
        <x:v>0</x:v>
      </x:c>
    </x:row>
    <x:row r="915">
      <x:c r="A915" s="25" t="str">
        <x:v>931</x:v>
      </x:c>
      <x:c r="B915" s="25" t="str">
        <x:v>Taxe Formation Professionnelle Continue</x:v>
      </x:c>
      <x:c r="C915" s="25" t="str"/>
      <x:c r="D915" s="64" t="n">
        <x:f>Lot_paie!AA30</x:f>
        <x:v>0</x:v>
      </x:c>
      <x:c r="E915" s="64" t="str"/>
      <x:c r="F915" s="64" t="str"/>
      <x:c r="G915" s="66" t="n">
        <x:f>Parametres_Paie!$B$17</x:f>
        <x:v>0.006</x:v>
      </x:c>
      <x:c r="H915" s="64" t="n">
        <x:f>Lot_paie!AO30</x:f>
        <x:v>0</x:v>
      </x:c>
    </x:row>
    <x:row r="916">
      <x:c r="A916" s="25" t="str">
        <x:v>932</x:v>
      </x:c>
      <x:c r="B916" s="25" t="str">
        <x:v>Taxe FPC Fin d’année</x:v>
      </x:c>
      <x:c r="C916" s="25" t="str"/>
      <x:c r="D916" s="64" t="n">
        <x:f>Lot_paie!AA30</x:f>
        <x:v>0</x:v>
      </x:c>
      <x:c r="E916" s="64" t="str"/>
      <x:c r="F916" s="64" t="str"/>
      <x:c r="G916" s="66" t="n">
        <x:f>Parametres_Paie!$B$18</x:f>
        <x:v>0.006</x:v>
      </x:c>
      <x:c r="H916" s="64" t="n">
        <x:f>Lot_paie!AP30</x:f>
        <x:v>0</x:v>
      </x:c>
    </x:row>
    <x:row r="917">
      <x:c r="A917" s="25" t="str"/>
      <x:c r="B917" s="83" t="str">
        <x:v>Total retenues fiscales et sociales</x:v>
      </x:c>
      <x:c r="C917" s="83" t="str"/>
      <x:c r="D917" s="84" t="str"/>
      <x:c r="E917" s="84" t="str"/>
      <x:c r="F917" s="84" t="n">
        <x:f>Lot_paie!AG30</x:f>
        <x:v>0</x:v>
      </x:c>
      <x:c r="G917" s="85" t="str"/>
      <x:c r="H917" s="84" t="n">
        <x:f>Lot_paie!AQ30</x:f>
        <x:v>0</x:v>
      </x:c>
    </x:row>
    <x:row r="918">
      <x:c r="A918" s="25" t="str">
        <x:v>204</x:v>
      </x:c>
      <x:c r="B918" s="25" t="str">
        <x:v>Indemnité Transport N. Imposable</x:v>
      </x:c>
      <x:c r="C918" s="25" t="str">
        <x:v>30</x:v>
      </x:c>
      <x:c r="D918" s="64" t="n">
        <x:f>Lot_paie!Y30</x:f>
        <x:v>0</x:v>
      </x:c>
      <x:c r="E918" s="64" t="str"/>
      <x:c r="F918" s="64" t="n">
        <x:f>Lot_paie!Y30</x:f>
        <x:v>0</x:v>
      </x:c>
      <x:c r="G918" s="66" t="str"/>
      <x:c r="H918" s="64" t="str"/>
    </x:row>
    <x:row r="919">
      <x:c r="A919" s="25" t="str"/>
      <x:c r="B919" s="25" t="str">
        <x:v>Total gains non imposables</x:v>
      </x:c>
      <x:c r="C919" s="25" t="str"/>
      <x:c r="D919" s="64" t="str"/>
      <x:c r="E919" s="64" t="str"/>
      <x:c r="F919" s="64" t="n">
        <x:f>Lot_paie!AR30</x:f>
        <x:v>0</x:v>
      </x:c>
      <x:c r="G919" s="66" t="str"/>
      <x:c r="H919" s="64" t="str"/>
    </x:row>
    <x:row r="920">
      <x:c r="A920" s="25" t="str"/>
      <x:c r="B920" s="110" t="str">
        <x:v>NET À PAYER</x:v>
      </x:c>
      <x:c r="C920" s="110" t="str"/>
      <x:c r="D920" s="111" t="str"/>
      <x:c r="E920" s="111" t="str"/>
      <x:c r="F920" s="111" t="str"/>
      <x:c r="G920" s="112" t="str"/>
      <x:c r="H920" s="111" t="n">
        <x:f>Lot_paie!AT30</x:f>
        <x:v>0</x:v>
      </x:c>
    </x:row>
    <x:row r="921">
      <x:c r="A921" s="25"/>
      <x:c r="B921" s="25"/>
      <x:c r="C921" s="25"/>
      <x:c r="D921" s="25"/>
      <x:c r="E921" s="25"/>
      <x:c r="F921" s="25"/>
      <x:c r="G921" s="25"/>
      <x:c r="H921" s="25"/>
    </x:row>
    <x:row r="922">
      <x:c r="A922" s="25"/>
      <x:c r="B922" s="25"/>
      <x:c r="C922" s="25"/>
      <x:c r="D922" s="25"/>
      <x:c r="E922" s="25"/>
      <x:c r="F922" s="25"/>
      <x:c r="G922" s="25"/>
      <x:c r="H922" s="25"/>
    </x:row>
    <x:row r="923">
      <x:c r="A923" s="25"/>
      <x:c r="B923" s="25"/>
      <x:c r="C923" s="25"/>
      <x:c r="D923" s="25"/>
      <x:c r="E923" s="25"/>
      <x:c r="F923" s="25"/>
      <x:c r="G923" s="25"/>
      <x:c r="H923" s="25"/>
    </x:row>
    <x:row r="924">
      <x:c r="A924" s="25"/>
      <x:c r="B924" s="25"/>
      <x:c r="C924" s="25"/>
      <x:c r="D924" s="25"/>
      <x:c r="E924" s="25"/>
      <x:c r="F924" s="25"/>
      <x:c r="G924" s="25"/>
      <x:c r="H924" s="25"/>
    </x:row>
    <x:row r="925">
      <x:c r="A925" s="25"/>
      <x:c r="B925" s="25"/>
      <x:c r="C925" s="25"/>
      <x:c r="D925" s="25"/>
      <x:c r="E925" s="25"/>
      <x:c r="F925" s="25"/>
      <x:c r="G925" s="25"/>
      <x:c r="H925" s="25"/>
    </x:row>
    <x:row r="926">
      <x:c r="A926" s="25"/>
      <x:c r="B926" s="25"/>
      <x:c r="C926" s="25"/>
      <x:c r="D926" s="25"/>
      <x:c r="E926" s="25"/>
      <x:c r="F926" s="25"/>
      <x:c r="G926" s="25"/>
      <x:c r="H926" s="25"/>
    </x:row>
    <x:row r="927">
      <x:c r="A927" s="25"/>
      <x:c r="B927" s="25"/>
      <x:c r="C927" s="25"/>
      <x:c r="D927" s="25"/>
      <x:c r="E927" s="25"/>
      <x:c r="F927" s="25"/>
      <x:c r="G927" s="25"/>
      <x:c r="H927" s="25"/>
    </x:row>
    <x:row r="929">
      <x:c r="A929" s="108" t="str">
        <x:v>BULLETIN DE PAIE – AAEA / AfWASA</x:v>
      </x:c>
      <x:c r="B929" s="108"/>
      <x:c r="C929" s="108"/>
      <x:c r="D929" s="108"/>
      <x:c r="E929" s="108"/>
      <x:c r="F929" s="108"/>
      <x:c r="G929" s="108"/>
      <x:c r="H929" s="108"/>
    </x:row>
    <x:row r="930">
      <x:c r="A930" s="25" t="str">
        <x:v>Matricule</x:v>
      </x:c>
      <x:c r="B930" s="25" t="str">
        <x:f>Lot_paie!A31</x:f>
        <x:v>0099O</x:v>
      </x:c>
      <x:c r="C930" s="25" t="str">
        <x:v>Période</x:v>
      </x:c>
      <x:c r="D930" s="25" t="str">
        <x:f>Parametres_Paie!$B$26</x:f>
        <x:v>Janvier 2025</x:v>
      </x:c>
      <x:c r="E930" s="25" t="str">
        <x:v>Paiement</x:v>
      </x:c>
      <x:c r="F930" s="25" t="n">
        <x:f>Parametres_Paie!$B$25</x:f>
        <x:v>45688</x:v>
      </x:c>
      <x:c r="G930" s="25" t="str"/>
      <x:c r="H930" s="25" t="str"/>
    </x:row>
    <x:row r="931">
      <x:c r="A931" s="25" t="str">
        <x:v>Nom et prénom</x:v>
      </x:c>
      <x:c r="B931" s="25" t="str">
        <x:f>Lot_paie!B31&amp;" "&amp;Lot_paie!C31</x:f>
        <x:v>KOUASSI Hemez Ange Aurelien</x:v>
      </x:c>
      <x:c r="C931" s="25" t="str">
        <x:v>Poste</x:v>
      </x:c>
      <x:c r="D931" s="25" t="str">
        <x:f>Lot_paie!F31</x:f>
        <x:v>Chargé de Programme Eau en Milieu Rural</x:v>
      </x:c>
      <x:c r="E931" s="25" t="str">
        <x:v>CNPS</x:v>
      </x:c>
      <x:c r="F931" s="25" t="n">
        <x:f>Lot_paie!J31</x:f>
        <x:v>202300133194</x:v>
      </x:c>
      <x:c r="G931" s="25" t="str"/>
      <x:c r="H931" s="25" t="str"/>
    </x:row>
    <x:row r="932">
      <x:c r="A932" s="25" t="str">
        <x:v>Direction</x:v>
      </x:c>
      <x:c r="B932" s="25" t="str">
        <x:f>Lot_paie!D31</x:f>
        <x:v>Direction des Services aux Membres et des Programmes</x:v>
      </x:c>
      <x:c r="C932" s="25" t="str">
        <x:v>Date entrée</x:v>
      </x:c>
      <x:c r="D932" s="25" t="n">
        <x:f>Lot_paie!I31</x:f>
        <x:v>45224</x:v>
      </x:c>
      <x:c r="E932" s="25" t="str">
        <x:v>Ancienneté</x:v>
      </x:c>
      <x:c r="F932" s="25" t="str">
        <x:f>Lot_paie!V31</x:f>
        <x:v>1 ans (calcul période)</x:v>
      </x:c>
      <x:c r="G932" s="25" t="str"/>
      <x:c r="H932" s="25" t="str"/>
    </x:row>
    <x:row r="933">
      <x:c r="A933" s="25"/>
      <x:c r="B933" s="25"/>
      <x:c r="C933" s="25"/>
      <x:c r="D933" s="25"/>
      <x:c r="E933" s="25"/>
      <x:c r="F933" s="25"/>
      <x:c r="G933" s="25"/>
      <x:c r="H933" s="25"/>
    </x:row>
    <x:row r="934">
      <x:c r="A934" s="14" t="str">
        <x:v>N°</x:v>
      </x:c>
      <x:c r="B934" s="14" t="str">
        <x:v>Désignation</x:v>
      </x:c>
      <x:c r="C934" s="14" t="str">
        <x:v>Nombre</x:v>
      </x:c>
      <x:c r="D934" s="14" t="str">
        <x:v>Base</x:v>
      </x:c>
      <x:c r="E934" s="14" t="str">
        <x:v>Taux Sal.</x:v>
      </x:c>
      <x:c r="F934" s="14" t="str">
        <x:v>Ret. Sal.</x:v>
      </x:c>
      <x:c r="G934" s="14" t="str">
        <x:v>Taux Pat.</x:v>
      </x:c>
      <x:c r="H934" s="14" t="str">
        <x:v>Ret. Pat.</x:v>
      </x:c>
    </x:row>
    <x:row r="935">
      <x:c r="A935" s="25" t="str">
        <x:v>100</x:v>
      </x:c>
      <x:c r="B935" s="25" t="str">
        <x:v>Salaire de base</x:v>
      </x:c>
      <x:c r="C935" s="25" t="str">
        <x:v>30</x:v>
      </x:c>
      <x:c r="D935" s="64" t="n">
        <x:f>Lot_paie!K31</x:f>
        <x:v>0</x:v>
      </x:c>
      <x:c r="E935" s="64" t="str"/>
      <x:c r="F935" s="64" t="str"/>
      <x:c r="G935" s="64" t="str"/>
      <x:c r="H935" s="64" t="str"/>
    </x:row>
    <x:row r="936">
      <x:c r="A936" s="25" t="str">
        <x:v>110</x:v>
      </x:c>
      <x:c r="B936" s="25" t="str">
        <x:v>Sursalaire</x:v>
      </x:c>
      <x:c r="C936" s="25" t="str">
        <x:v>30</x:v>
      </x:c>
      <x:c r="D936" s="64" t="n">
        <x:f>Lot_paie!L31</x:f>
        <x:v>0</x:v>
      </x:c>
      <x:c r="E936" s="64" t="str"/>
      <x:c r="F936" s="64" t="str"/>
      <x:c r="G936" s="64" t="str"/>
      <x:c r="H936" s="64" t="str"/>
    </x:row>
    <x:row r="937">
      <x:c r="A937" s="25" t="str">
        <x:v>120</x:v>
      </x:c>
      <x:c r="B937" s="25" t="str">
        <x:v>Prime ancienneté</x:v>
      </x:c>
      <x:c r="C937" s="25" t="n">
        <x:f>Lot_paie!U31</x:f>
        <x:v>1</x:v>
      </x:c>
      <x:c r="D937" s="64" t="n">
        <x:f>Lot_paie!X31</x:f>
        <x:v>0</x:v>
      </x:c>
      <x:c r="E937" s="64" t="str"/>
      <x:c r="F937" s="64" t="str"/>
      <x:c r="G937" s="64" t="str"/>
      <x:c r="H937" s="64" t="str"/>
    </x:row>
    <x:row r="938">
      <x:c r="A938" s="25" t="str"/>
      <x:c r="B938" s="24" t="str">
        <x:v>Total brut imposable</x:v>
      </x:c>
      <x:c r="C938" s="24" t="str"/>
      <x:c r="D938" s="76" t="str"/>
      <x:c r="E938" s="76" t="str"/>
      <x:c r="F938" s="76" t="n">
        <x:f>Lot_paie!AA31</x:f>
        <x:v>0</x:v>
      </x:c>
      <x:c r="G938" s="76" t="str"/>
      <x:c r="H938" s="76" t="str"/>
    </x:row>
    <x:row r="939">
      <x:c r="A939" s="25" t="str">
        <x:v>810</x:v>
      </x:c>
      <x:c r="B939" s="25" t="str">
        <x:v>C.N.P.S.</x:v>
      </x:c>
      <x:c r="C939" s="25" t="str"/>
      <x:c r="D939" s="64" t="n">
        <x:f>Lot_paie!AB31</x:f>
        <x:v>0</x:v>
      </x:c>
      <x:c r="E939" s="66" t="n">
        <x:f>Parametres_Paie!$B$4</x:f>
        <x:v>0.063</x:v>
      </x:c>
      <x:c r="F939" s="64" t="n">
        <x:f>Lot_paie!AC31</x:f>
        <x:v>0</x:v>
      </x:c>
      <x:c r="G939" s="66" t="n">
        <x:f>Parametres_Paie!$B$5</x:f>
        <x:v>0.077</x:v>
      </x:c>
      <x:c r="H939" s="64" t="n">
        <x:f>Lot_paie!AH31</x:f>
        <x:v>0</x:v>
      </x:c>
    </x:row>
    <x:row r="940">
      <x:c r="A940" s="25" t="str">
        <x:v>815</x:v>
      </x:c>
      <x:c r="B940" s="25" t="str">
        <x:v>Retenue CMU employé</x:v>
      </x:c>
      <x:c r="C940" s="25" t="str"/>
      <x:c r="D940" s="64" t="n">
        <x:f>Lot_paie!AD31</x:f>
        <x:v>0</x:v>
      </x:c>
      <x:c r="E940" s="64" t="str"/>
      <x:c r="F940" s="64" t="n">
        <x:f>Lot_paie!AD31</x:f>
        <x:v>0</x:v>
      </x:c>
      <x:c r="G940" s="66" t="str"/>
      <x:c r="H940" s="64" t="n">
        <x:f>Lot_paie!AL31</x:f>
        <x:v>0</x:v>
      </x:c>
    </x:row>
    <x:row r="941">
      <x:c r="A941" s="25" t="str">
        <x:v>860</x:v>
      </x:c>
      <x:c r="B941" s="25" t="str">
        <x:v>I.T.S</x:v>
      </x:c>
      <x:c r="C941" s="25" t="str"/>
      <x:c r="D941" s="64" t="n">
        <x:f>Lot_paie!AA31</x:f>
        <x:v>0</x:v>
      </x:c>
      <x:c r="E941" s="64" t="str"/>
      <x:c r="F941" s="64" t="n">
        <x:f>Lot_paie!AF31</x:f>
        <x:v>0</x:v>
      </x:c>
      <x:c r="G941" s="66" t="str"/>
      <x:c r="H941" s="64" t="str"/>
    </x:row>
    <x:row r="942">
      <x:c r="A942" s="25" t="str">
        <x:v>912</x:v>
      </x:c>
      <x:c r="B942" s="25" t="str">
        <x:v>Prestation Familiale</x:v>
      </x:c>
      <x:c r="C942" s="25" t="str"/>
      <x:c r="D942" s="64" t="n">
        <x:f>Parametres_Paie!$B$7</x:f>
        <x:v>75000</x:v>
      </x:c>
      <x:c r="E942" s="64" t="str"/>
      <x:c r="F942" s="64" t="str"/>
      <x:c r="G942" s="66" t="n">
        <x:f>Parametres_Paie!$B$8</x:f>
        <x:v>0.05</x:v>
      </x:c>
      <x:c r="H942" s="64" t="n">
        <x:f>Lot_paie!AI31</x:f>
        <x:v>0</x:v>
      </x:c>
    </x:row>
    <x:row r="943">
      <x:c r="A943" s="25" t="str">
        <x:v>913</x:v>
      </x:c>
      <x:c r="B943" s="25" t="str">
        <x:v>Accident de Travail</x:v>
      </x:c>
      <x:c r="C943" s="25" t="str"/>
      <x:c r="D943" s="64" t="n">
        <x:f>Parametres_Paie!$B$7</x:f>
        <x:v>75000</x:v>
      </x:c>
      <x:c r="E943" s="64" t="str"/>
      <x:c r="F943" s="64" t="str"/>
      <x:c r="G943" s="66" t="n">
        <x:f>Lot_paie!T31</x:f>
        <x:v>0.02</x:v>
      </x:c>
      <x:c r="H943" s="64" t="n">
        <x:f>Lot_paie!AJ31</x:f>
        <x:v>0</x:v>
      </x:c>
    </x:row>
    <x:row r="944">
      <x:c r="A944" s="25" t="str">
        <x:v>914</x:v>
      </x:c>
      <x:c r="B944" s="25" t="str">
        <x:v>Assurance Maternité</x:v>
      </x:c>
      <x:c r="C944" s="25" t="str"/>
      <x:c r="D944" s="64" t="n">
        <x:f>Parametres_Paie!$B$7</x:f>
        <x:v>75000</x:v>
      </x:c>
      <x:c r="E944" s="64" t="str"/>
      <x:c r="F944" s="64" t="str"/>
      <x:c r="G944" s="66" t="n">
        <x:f>Parametres_Paie!$B$9</x:f>
        <x:v>0.0075</x:v>
      </x:c>
      <x:c r="H944" s="64" t="n">
        <x:f>Lot_paie!AK31</x:f>
        <x:v>0</x:v>
      </x:c>
    </x:row>
    <x:row r="945">
      <x:c r="A945" s="25" t="str">
        <x:v>924</x:v>
      </x:c>
      <x:c r="B945" s="25" t="str">
        <x:v>I.S. Employeur Local</x:v>
      </x:c>
      <x:c r="C945" s="25" t="str"/>
      <x:c r="D945" s="64" t="n">
        <x:f>Lot_paie!AA31</x:f>
        <x:v>0</x:v>
      </x:c>
      <x:c r="E945" s="64" t="str"/>
      <x:c r="F945" s="64" t="str"/>
      <x:c r="G945" s="66" t="n">
        <x:f>Parametres_Paie!$B$15</x:f>
        <x:v>0.012</x:v>
      </x:c>
      <x:c r="H945" s="64" t="n">
        <x:f>Lot_paie!AM31</x:f>
        <x:v>0</x:v>
      </x:c>
    </x:row>
    <x:row r="946">
      <x:c r="A946" s="25" t="str">
        <x:v>930</x:v>
      </x:c>
      <x:c r="B946" s="25" t="str">
        <x:v>Taxe d’Apprentissage</x:v>
      </x:c>
      <x:c r="C946" s="25" t="str"/>
      <x:c r="D946" s="64" t="n">
        <x:f>Lot_paie!AA31</x:f>
        <x:v>0</x:v>
      </x:c>
      <x:c r="E946" s="64" t="str"/>
      <x:c r="F946" s="64" t="str"/>
      <x:c r="G946" s="66" t="n">
        <x:f>Parametres_Paie!$B$16</x:f>
        <x:v>0.004</x:v>
      </x:c>
      <x:c r="H946" s="64" t="n">
        <x:f>Lot_paie!AN31</x:f>
        <x:v>0</x:v>
      </x:c>
    </x:row>
    <x:row r="947">
      <x:c r="A947" s="25" t="str">
        <x:v>931</x:v>
      </x:c>
      <x:c r="B947" s="25" t="str">
        <x:v>Taxe Formation Professionnelle Continue</x:v>
      </x:c>
      <x:c r="C947" s="25" t="str"/>
      <x:c r="D947" s="64" t="n">
        <x:f>Lot_paie!AA31</x:f>
        <x:v>0</x:v>
      </x:c>
      <x:c r="E947" s="64" t="str"/>
      <x:c r="F947" s="64" t="str"/>
      <x:c r="G947" s="66" t="n">
        <x:f>Parametres_Paie!$B$17</x:f>
        <x:v>0.006</x:v>
      </x:c>
      <x:c r="H947" s="64" t="n">
        <x:f>Lot_paie!AO31</x:f>
        <x:v>0</x:v>
      </x:c>
    </x:row>
    <x:row r="948">
      <x:c r="A948" s="25" t="str">
        <x:v>932</x:v>
      </x:c>
      <x:c r="B948" s="25" t="str">
        <x:v>Taxe FPC Fin d’année</x:v>
      </x:c>
      <x:c r="C948" s="25" t="str"/>
      <x:c r="D948" s="64" t="n">
        <x:f>Lot_paie!AA31</x:f>
        <x:v>0</x:v>
      </x:c>
      <x:c r="E948" s="64" t="str"/>
      <x:c r="F948" s="64" t="str"/>
      <x:c r="G948" s="66" t="n">
        <x:f>Parametres_Paie!$B$18</x:f>
        <x:v>0.006</x:v>
      </x:c>
      <x:c r="H948" s="64" t="n">
        <x:f>Lot_paie!AP31</x:f>
        <x:v>0</x:v>
      </x:c>
    </x:row>
    <x:row r="949">
      <x:c r="A949" s="25" t="str"/>
      <x:c r="B949" s="83" t="str">
        <x:v>Total retenues fiscales et sociales</x:v>
      </x:c>
      <x:c r="C949" s="83" t="str"/>
      <x:c r="D949" s="84" t="str"/>
      <x:c r="E949" s="84" t="str"/>
      <x:c r="F949" s="84" t="n">
        <x:f>Lot_paie!AG31</x:f>
        <x:v>0</x:v>
      </x:c>
      <x:c r="G949" s="85" t="str"/>
      <x:c r="H949" s="84" t="n">
        <x:f>Lot_paie!AQ31</x:f>
        <x:v>0</x:v>
      </x:c>
    </x:row>
    <x:row r="950">
      <x:c r="A950" s="25" t="str">
        <x:v>204</x:v>
      </x:c>
      <x:c r="B950" s="25" t="str">
        <x:v>Indemnité Transport N. Imposable</x:v>
      </x:c>
      <x:c r="C950" s="25" t="str">
        <x:v>30</x:v>
      </x:c>
      <x:c r="D950" s="64" t="n">
        <x:f>Lot_paie!Y31</x:f>
        <x:v>0</x:v>
      </x:c>
      <x:c r="E950" s="64" t="str"/>
      <x:c r="F950" s="64" t="n">
        <x:f>Lot_paie!Y31</x:f>
        <x:v>0</x:v>
      </x:c>
      <x:c r="G950" s="66" t="str"/>
      <x:c r="H950" s="64" t="str"/>
    </x:row>
    <x:row r="951">
      <x:c r="A951" s="25" t="str"/>
      <x:c r="B951" s="25" t="str">
        <x:v>Total gains non imposables</x:v>
      </x:c>
      <x:c r="C951" s="25" t="str"/>
      <x:c r="D951" s="64" t="str"/>
      <x:c r="E951" s="64" t="str"/>
      <x:c r="F951" s="64" t="n">
        <x:f>Lot_paie!AR31</x:f>
        <x:v>0</x:v>
      </x:c>
      <x:c r="G951" s="66" t="str"/>
      <x:c r="H951" s="64" t="str"/>
    </x:row>
    <x:row r="952">
      <x:c r="A952" s="25" t="str"/>
      <x:c r="B952" s="110" t="str">
        <x:v>NET À PAYER</x:v>
      </x:c>
      <x:c r="C952" s="110" t="str"/>
      <x:c r="D952" s="111" t="str"/>
      <x:c r="E952" s="111" t="str"/>
      <x:c r="F952" s="111" t="str"/>
      <x:c r="G952" s="112" t="str"/>
      <x:c r="H952" s="111" t="n">
        <x:f>Lot_paie!AT31</x:f>
        <x:v>0</x:v>
      </x:c>
    </x:row>
    <x:row r="953">
      <x:c r="A953" s="25"/>
      <x:c r="B953" s="25"/>
      <x:c r="C953" s="25"/>
      <x:c r="D953" s="25"/>
      <x:c r="E953" s="25"/>
      <x:c r="F953" s="25"/>
      <x:c r="G953" s="25"/>
      <x:c r="H953" s="25"/>
    </x:row>
    <x:row r="954">
      <x:c r="A954" s="25"/>
      <x:c r="B954" s="25"/>
      <x:c r="C954" s="25"/>
      <x:c r="D954" s="25"/>
      <x:c r="E954" s="25"/>
      <x:c r="F954" s="25"/>
      <x:c r="G954" s="25"/>
      <x:c r="H954" s="25"/>
    </x:row>
    <x:row r="955">
      <x:c r="A955" s="25"/>
      <x:c r="B955" s="25"/>
      <x:c r="C955" s="25"/>
      <x:c r="D955" s="25"/>
      <x:c r="E955" s="25"/>
      <x:c r="F955" s="25"/>
      <x:c r="G955" s="25"/>
      <x:c r="H955" s="25"/>
    </x:row>
    <x:row r="956">
      <x:c r="A956" s="25"/>
      <x:c r="B956" s="25"/>
      <x:c r="C956" s="25"/>
      <x:c r="D956" s="25"/>
      <x:c r="E956" s="25"/>
      <x:c r="F956" s="25"/>
      <x:c r="G956" s="25"/>
      <x:c r="H956" s="25"/>
    </x:row>
    <x:row r="957">
      <x:c r="A957" s="25"/>
      <x:c r="B957" s="25"/>
      <x:c r="C957" s="25"/>
      <x:c r="D957" s="25"/>
      <x:c r="E957" s="25"/>
      <x:c r="F957" s="25"/>
      <x:c r="G957" s="25"/>
      <x:c r="H957" s="25"/>
    </x:row>
    <x:row r="958">
      <x:c r="A958" s="25"/>
      <x:c r="B958" s="25"/>
      <x:c r="C958" s="25"/>
      <x:c r="D958" s="25"/>
      <x:c r="E958" s="25"/>
      <x:c r="F958" s="25"/>
      <x:c r="G958" s="25"/>
      <x:c r="H958" s="25"/>
    </x:row>
    <x:row r="959">
      <x:c r="A959" s="25"/>
      <x:c r="B959" s="25"/>
      <x:c r="C959" s="25"/>
      <x:c r="D959" s="25"/>
      <x:c r="E959" s="25"/>
      <x:c r="F959" s="25"/>
      <x:c r="G959" s="25"/>
      <x:c r="H959" s="25"/>
    </x:row>
    <x:row r="961">
      <x:c r="A961" s="108" t="str">
        <x:v>BULLETIN DE PAIE – AAEA / AfWASA</x:v>
      </x:c>
      <x:c r="B961" s="108"/>
      <x:c r="C961" s="108"/>
      <x:c r="D961" s="108"/>
      <x:c r="E961" s="108"/>
      <x:c r="F961" s="108"/>
      <x:c r="G961" s="108"/>
      <x:c r="H961" s="108"/>
    </x:row>
    <x:row r="962">
      <x:c r="A962" s="25" t="str">
        <x:v>Matricule</x:v>
      </x:c>
      <x:c r="B962" s="25" t="str">
        <x:f>Lot_paie!A32</x:f>
        <x:v>0104F</x:v>
      </x:c>
      <x:c r="C962" s="25" t="str">
        <x:v>Période</x:v>
      </x:c>
      <x:c r="D962" s="25" t="str">
        <x:f>Parametres_Paie!$B$26</x:f>
        <x:v>Janvier 2025</x:v>
      </x:c>
      <x:c r="E962" s="25" t="str">
        <x:v>Paiement</x:v>
      </x:c>
      <x:c r="F962" s="25" t="n">
        <x:f>Parametres_Paie!$B$25</x:f>
        <x:v>45688</x:v>
      </x:c>
      <x:c r="G962" s="25" t="str"/>
      <x:c r="H962" s="25" t="str"/>
    </x:row>
    <x:row r="963">
      <x:c r="A963" s="25" t="str">
        <x:v>Nom et prénom</x:v>
      </x:c>
      <x:c r="B963" s="25" t="str">
        <x:f>Lot_paie!B32&amp;" "&amp;Lot_paie!C32</x:f>
        <x:v>N'DOUA Kamenan Jean</x:v>
      </x:c>
      <x:c r="C963" s="25" t="str">
        <x:v>Poste</x:v>
      </x:c>
      <x:c r="D963" s="25" t="str">
        <x:f>Lot_paie!F32</x:f>
        <x:v>Assistant Communication et Infographie</x:v>
      </x:c>
      <x:c r="E963" s="25" t="str">
        <x:v>CNPS</x:v>
      </x:c>
      <x:c r="F963" s="25" t="n">
        <x:f>Lot_paie!J32</x:f>
        <x:v>187011222043</x:v>
      </x:c>
      <x:c r="G963" s="25" t="str"/>
      <x:c r="H963" s="25" t="str"/>
    </x:row>
    <x:row r="964">
      <x:c r="A964" s="25" t="str">
        <x:v>Direction</x:v>
      </x:c>
      <x:c r="B964" s="25" t="str">
        <x:f>Lot_paie!D32</x:f>
        <x:v>Cabinet de la Direction Exécutive</x:v>
      </x:c>
      <x:c r="C964" s="25" t="str">
        <x:v>Date entrée</x:v>
      </x:c>
      <x:c r="D964" s="25" t="n">
        <x:f>Lot_paie!I32</x:f>
        <x:v>45343</x:v>
      </x:c>
      <x:c r="E964" s="25" t="str">
        <x:v>Ancienneté</x:v>
      </x:c>
      <x:c r="F964" s="25" t="str">
        <x:f>Lot_paie!V32</x:f>
        <x:v>0 ans (calcul période)</x:v>
      </x:c>
      <x:c r="G964" s="25" t="str"/>
      <x:c r="H964" s="25" t="str"/>
    </x:row>
    <x:row r="965">
      <x:c r="A965" s="25"/>
      <x:c r="B965" s="25"/>
      <x:c r="C965" s="25"/>
      <x:c r="D965" s="25"/>
      <x:c r="E965" s="25"/>
      <x:c r="F965" s="25"/>
      <x:c r="G965" s="25"/>
      <x:c r="H965" s="25"/>
    </x:row>
    <x:row r="966">
      <x:c r="A966" s="14" t="str">
        <x:v>N°</x:v>
      </x:c>
      <x:c r="B966" s="14" t="str">
        <x:v>Désignation</x:v>
      </x:c>
      <x:c r="C966" s="14" t="str">
        <x:v>Nombre</x:v>
      </x:c>
      <x:c r="D966" s="14" t="str">
        <x:v>Base</x:v>
      </x:c>
      <x:c r="E966" s="14" t="str">
        <x:v>Taux Sal.</x:v>
      </x:c>
      <x:c r="F966" s="14" t="str">
        <x:v>Ret. Sal.</x:v>
      </x:c>
      <x:c r="G966" s="14" t="str">
        <x:v>Taux Pat.</x:v>
      </x:c>
      <x:c r="H966" s="14" t="str">
        <x:v>Ret. Pat.</x:v>
      </x:c>
    </x:row>
    <x:row r="967">
      <x:c r="A967" s="25" t="str">
        <x:v>100</x:v>
      </x:c>
      <x:c r="B967" s="25" t="str">
        <x:v>Salaire de base</x:v>
      </x:c>
      <x:c r="C967" s="25" t="str">
        <x:v>30</x:v>
      </x:c>
      <x:c r="D967" s="64" t="n">
        <x:f>Lot_paie!K32</x:f>
        <x:v>0</x:v>
      </x:c>
      <x:c r="E967" s="64" t="str"/>
      <x:c r="F967" s="64" t="str"/>
      <x:c r="G967" s="64" t="str"/>
      <x:c r="H967" s="64" t="str"/>
    </x:row>
    <x:row r="968">
      <x:c r="A968" s="25" t="str">
        <x:v>110</x:v>
      </x:c>
      <x:c r="B968" s="25" t="str">
        <x:v>Sursalaire</x:v>
      </x:c>
      <x:c r="C968" s="25" t="str">
        <x:v>30</x:v>
      </x:c>
      <x:c r="D968" s="64" t="n">
        <x:f>Lot_paie!L32</x:f>
        <x:v>0</x:v>
      </x:c>
      <x:c r="E968" s="64" t="str"/>
      <x:c r="F968" s="64" t="str"/>
      <x:c r="G968" s="64" t="str"/>
      <x:c r="H968" s="64" t="str"/>
    </x:row>
    <x:row r="969">
      <x:c r="A969" s="25" t="str">
        <x:v>120</x:v>
      </x:c>
      <x:c r="B969" s="25" t="str">
        <x:v>Prime ancienneté</x:v>
      </x:c>
      <x:c r="C969" s="25" t="n">
        <x:f>Lot_paie!U32</x:f>
        <x:v>0</x:v>
      </x:c>
      <x:c r="D969" s="64" t="n">
        <x:f>Lot_paie!X32</x:f>
        <x:v>0</x:v>
      </x:c>
      <x:c r="E969" s="64" t="str"/>
      <x:c r="F969" s="64" t="str"/>
      <x:c r="G969" s="64" t="str"/>
      <x:c r="H969" s="64" t="str"/>
    </x:row>
    <x:row r="970">
      <x:c r="A970" s="25" t="str"/>
      <x:c r="B970" s="24" t="str">
        <x:v>Total brut imposable</x:v>
      </x:c>
      <x:c r="C970" s="24" t="str"/>
      <x:c r="D970" s="76" t="str"/>
      <x:c r="E970" s="76" t="str"/>
      <x:c r="F970" s="76" t="n">
        <x:f>Lot_paie!AA32</x:f>
        <x:v>0</x:v>
      </x:c>
      <x:c r="G970" s="76" t="str"/>
      <x:c r="H970" s="76" t="str"/>
    </x:row>
    <x:row r="971">
      <x:c r="A971" s="25" t="str">
        <x:v>810</x:v>
      </x:c>
      <x:c r="B971" s="25" t="str">
        <x:v>C.N.P.S.</x:v>
      </x:c>
      <x:c r="C971" s="25" t="str"/>
      <x:c r="D971" s="64" t="n">
        <x:f>Lot_paie!AB32</x:f>
        <x:v>0</x:v>
      </x:c>
      <x:c r="E971" s="66" t="n">
        <x:f>Parametres_Paie!$B$4</x:f>
        <x:v>0.063</x:v>
      </x:c>
      <x:c r="F971" s="64" t="n">
        <x:f>Lot_paie!AC32</x:f>
        <x:v>0</x:v>
      </x:c>
      <x:c r="G971" s="66" t="n">
        <x:f>Parametres_Paie!$B$5</x:f>
        <x:v>0.077</x:v>
      </x:c>
      <x:c r="H971" s="64" t="n">
        <x:f>Lot_paie!AH32</x:f>
        <x:v>0</x:v>
      </x:c>
    </x:row>
    <x:row r="972">
      <x:c r="A972" s="25" t="str">
        <x:v>815</x:v>
      </x:c>
      <x:c r="B972" s="25" t="str">
        <x:v>Retenue CMU employé</x:v>
      </x:c>
      <x:c r="C972" s="25" t="str"/>
      <x:c r="D972" s="64" t="n">
        <x:f>Lot_paie!AD32</x:f>
        <x:v>0</x:v>
      </x:c>
      <x:c r="E972" s="64" t="str"/>
      <x:c r="F972" s="64" t="n">
        <x:f>Lot_paie!AD32</x:f>
        <x:v>0</x:v>
      </x:c>
      <x:c r="G972" s="66" t="str"/>
      <x:c r="H972" s="64" t="n">
        <x:f>Lot_paie!AL32</x:f>
        <x:v>0</x:v>
      </x:c>
    </x:row>
    <x:row r="973">
      <x:c r="A973" s="25" t="str">
        <x:v>860</x:v>
      </x:c>
      <x:c r="B973" s="25" t="str">
        <x:v>I.T.S</x:v>
      </x:c>
      <x:c r="C973" s="25" t="str"/>
      <x:c r="D973" s="64" t="n">
        <x:f>Lot_paie!AA32</x:f>
        <x:v>0</x:v>
      </x:c>
      <x:c r="E973" s="64" t="str"/>
      <x:c r="F973" s="64" t="n">
        <x:f>Lot_paie!AF32</x:f>
        <x:v>0</x:v>
      </x:c>
      <x:c r="G973" s="66" t="str"/>
      <x:c r="H973" s="64" t="str"/>
    </x:row>
    <x:row r="974">
      <x:c r="A974" s="25" t="str">
        <x:v>912</x:v>
      </x:c>
      <x:c r="B974" s="25" t="str">
        <x:v>Prestation Familiale</x:v>
      </x:c>
      <x:c r="C974" s="25" t="str"/>
      <x:c r="D974" s="64" t="n">
        <x:f>Parametres_Paie!$B$7</x:f>
        <x:v>75000</x:v>
      </x:c>
      <x:c r="E974" s="64" t="str"/>
      <x:c r="F974" s="64" t="str"/>
      <x:c r="G974" s="66" t="n">
        <x:f>Parametres_Paie!$B$8</x:f>
        <x:v>0.05</x:v>
      </x:c>
      <x:c r="H974" s="64" t="n">
        <x:f>Lot_paie!AI32</x:f>
        <x:v>0</x:v>
      </x:c>
    </x:row>
    <x:row r="975">
      <x:c r="A975" s="25" t="str">
        <x:v>913</x:v>
      </x:c>
      <x:c r="B975" s="25" t="str">
        <x:v>Accident de Travail</x:v>
      </x:c>
      <x:c r="C975" s="25" t="str"/>
      <x:c r="D975" s="64" t="n">
        <x:f>Parametres_Paie!$B$7</x:f>
        <x:v>75000</x:v>
      </x:c>
      <x:c r="E975" s="64" t="str"/>
      <x:c r="F975" s="64" t="str"/>
      <x:c r="G975" s="66" t="n">
        <x:f>Lot_paie!T32</x:f>
        <x:v>0.02</x:v>
      </x:c>
      <x:c r="H975" s="64" t="n">
        <x:f>Lot_paie!AJ32</x:f>
        <x:v>0</x:v>
      </x:c>
    </x:row>
    <x:row r="976">
      <x:c r="A976" s="25" t="str">
        <x:v>914</x:v>
      </x:c>
      <x:c r="B976" s="25" t="str">
        <x:v>Assurance Maternité</x:v>
      </x:c>
      <x:c r="C976" s="25" t="str"/>
      <x:c r="D976" s="64" t="n">
        <x:f>Parametres_Paie!$B$7</x:f>
        <x:v>75000</x:v>
      </x:c>
      <x:c r="E976" s="64" t="str"/>
      <x:c r="F976" s="64" t="str"/>
      <x:c r="G976" s="66" t="n">
        <x:f>Parametres_Paie!$B$9</x:f>
        <x:v>0.0075</x:v>
      </x:c>
      <x:c r="H976" s="64" t="n">
        <x:f>Lot_paie!AK32</x:f>
        <x:v>0</x:v>
      </x:c>
    </x:row>
    <x:row r="977">
      <x:c r="A977" s="25" t="str">
        <x:v>924</x:v>
      </x:c>
      <x:c r="B977" s="25" t="str">
        <x:v>I.S. Employeur Local</x:v>
      </x:c>
      <x:c r="C977" s="25" t="str"/>
      <x:c r="D977" s="64" t="n">
        <x:f>Lot_paie!AA32</x:f>
        <x:v>0</x:v>
      </x:c>
      <x:c r="E977" s="64" t="str"/>
      <x:c r="F977" s="64" t="str"/>
      <x:c r="G977" s="66" t="n">
        <x:f>Parametres_Paie!$B$15</x:f>
        <x:v>0.012</x:v>
      </x:c>
      <x:c r="H977" s="64" t="n">
        <x:f>Lot_paie!AM32</x:f>
        <x:v>0</x:v>
      </x:c>
    </x:row>
    <x:row r="978">
      <x:c r="A978" s="25" t="str">
        <x:v>930</x:v>
      </x:c>
      <x:c r="B978" s="25" t="str">
        <x:v>Taxe d’Apprentissage</x:v>
      </x:c>
      <x:c r="C978" s="25" t="str"/>
      <x:c r="D978" s="64" t="n">
        <x:f>Lot_paie!AA32</x:f>
        <x:v>0</x:v>
      </x:c>
      <x:c r="E978" s="64" t="str"/>
      <x:c r="F978" s="64" t="str"/>
      <x:c r="G978" s="66" t="n">
        <x:f>Parametres_Paie!$B$16</x:f>
        <x:v>0.004</x:v>
      </x:c>
      <x:c r="H978" s="64" t="n">
        <x:f>Lot_paie!AN32</x:f>
        <x:v>0</x:v>
      </x:c>
    </x:row>
    <x:row r="979">
      <x:c r="A979" s="25" t="str">
        <x:v>931</x:v>
      </x:c>
      <x:c r="B979" s="25" t="str">
        <x:v>Taxe Formation Professionnelle Continue</x:v>
      </x:c>
      <x:c r="C979" s="25" t="str"/>
      <x:c r="D979" s="64" t="n">
        <x:f>Lot_paie!AA32</x:f>
        <x:v>0</x:v>
      </x:c>
      <x:c r="E979" s="64" t="str"/>
      <x:c r="F979" s="64" t="str"/>
      <x:c r="G979" s="66" t="n">
        <x:f>Parametres_Paie!$B$17</x:f>
        <x:v>0.006</x:v>
      </x:c>
      <x:c r="H979" s="64" t="n">
        <x:f>Lot_paie!AO32</x:f>
        <x:v>0</x:v>
      </x:c>
    </x:row>
    <x:row r="980">
      <x:c r="A980" s="25" t="str">
        <x:v>932</x:v>
      </x:c>
      <x:c r="B980" s="25" t="str">
        <x:v>Taxe FPC Fin d’année</x:v>
      </x:c>
      <x:c r="C980" s="25" t="str"/>
      <x:c r="D980" s="64" t="n">
        <x:f>Lot_paie!AA32</x:f>
        <x:v>0</x:v>
      </x:c>
      <x:c r="E980" s="64" t="str"/>
      <x:c r="F980" s="64" t="str"/>
      <x:c r="G980" s="66" t="n">
        <x:f>Parametres_Paie!$B$18</x:f>
        <x:v>0.006</x:v>
      </x:c>
      <x:c r="H980" s="64" t="n">
        <x:f>Lot_paie!AP32</x:f>
        <x:v>0</x:v>
      </x:c>
    </x:row>
    <x:row r="981">
      <x:c r="A981" s="25" t="str"/>
      <x:c r="B981" s="83" t="str">
        <x:v>Total retenues fiscales et sociales</x:v>
      </x:c>
      <x:c r="C981" s="83" t="str"/>
      <x:c r="D981" s="84" t="str"/>
      <x:c r="E981" s="84" t="str"/>
      <x:c r="F981" s="84" t="n">
        <x:f>Lot_paie!AG32</x:f>
        <x:v>0</x:v>
      </x:c>
      <x:c r="G981" s="85" t="str"/>
      <x:c r="H981" s="84" t="n">
        <x:f>Lot_paie!AQ32</x:f>
        <x:v>0</x:v>
      </x:c>
    </x:row>
    <x:row r="982">
      <x:c r="A982" s="25" t="str">
        <x:v>204</x:v>
      </x:c>
      <x:c r="B982" s="25" t="str">
        <x:v>Indemnité Transport N. Imposable</x:v>
      </x:c>
      <x:c r="C982" s="25" t="str">
        <x:v>30</x:v>
      </x:c>
      <x:c r="D982" s="64" t="n">
        <x:f>Lot_paie!Y32</x:f>
        <x:v>0</x:v>
      </x:c>
      <x:c r="E982" s="64" t="str"/>
      <x:c r="F982" s="64" t="n">
        <x:f>Lot_paie!Y32</x:f>
        <x:v>0</x:v>
      </x:c>
      <x:c r="G982" s="66" t="str"/>
      <x:c r="H982" s="64" t="str"/>
    </x:row>
    <x:row r="983">
      <x:c r="A983" s="25" t="str"/>
      <x:c r="B983" s="25" t="str">
        <x:v>Total gains non imposables</x:v>
      </x:c>
      <x:c r="C983" s="25" t="str"/>
      <x:c r="D983" s="64" t="str"/>
      <x:c r="E983" s="64" t="str"/>
      <x:c r="F983" s="64" t="n">
        <x:f>Lot_paie!AR32</x:f>
        <x:v>0</x:v>
      </x:c>
      <x:c r="G983" s="66" t="str"/>
      <x:c r="H983" s="64" t="str"/>
    </x:row>
    <x:row r="984">
      <x:c r="A984" s="25" t="str"/>
      <x:c r="B984" s="110" t="str">
        <x:v>NET À PAYER</x:v>
      </x:c>
      <x:c r="C984" s="110" t="str"/>
      <x:c r="D984" s="111" t="str"/>
      <x:c r="E984" s="111" t="str"/>
      <x:c r="F984" s="111" t="str"/>
      <x:c r="G984" s="112" t="str"/>
      <x:c r="H984" s="111" t="n">
        <x:f>Lot_paie!AT32</x:f>
        <x:v>0</x:v>
      </x:c>
    </x:row>
    <x:row r="985">
      <x:c r="A985" s="25"/>
      <x:c r="B985" s="25"/>
      <x:c r="C985" s="25"/>
      <x:c r="D985" s="25"/>
      <x:c r="E985" s="25"/>
      <x:c r="F985" s="25"/>
      <x:c r="G985" s="25"/>
      <x:c r="H985" s="25"/>
    </x:row>
    <x:row r="986">
      <x:c r="A986" s="25"/>
      <x:c r="B986" s="25"/>
      <x:c r="C986" s="25"/>
      <x:c r="D986" s="25"/>
      <x:c r="E986" s="25"/>
      <x:c r="F986" s="25"/>
      <x:c r="G986" s="25"/>
      <x:c r="H986" s="25"/>
    </x:row>
    <x:row r="987">
      <x:c r="A987" s="25"/>
      <x:c r="B987" s="25"/>
      <x:c r="C987" s="25"/>
      <x:c r="D987" s="25"/>
      <x:c r="E987" s="25"/>
      <x:c r="F987" s="25"/>
      <x:c r="G987" s="25"/>
      <x:c r="H987" s="25"/>
    </x:row>
    <x:row r="988">
      <x:c r="A988" s="25"/>
      <x:c r="B988" s="25"/>
      <x:c r="C988" s="25"/>
      <x:c r="D988" s="25"/>
      <x:c r="E988" s="25"/>
      <x:c r="F988" s="25"/>
      <x:c r="G988" s="25"/>
      <x:c r="H988" s="25"/>
    </x:row>
    <x:row r="989">
      <x:c r="A989" s="25"/>
      <x:c r="B989" s="25"/>
      <x:c r="C989" s="25"/>
      <x:c r="D989" s="25"/>
      <x:c r="E989" s="25"/>
      <x:c r="F989" s="25"/>
      <x:c r="G989" s="25"/>
      <x:c r="H989" s="25"/>
    </x:row>
    <x:row r="990">
      <x:c r="A990" s="25"/>
      <x:c r="B990" s="25"/>
      <x:c r="C990" s="25"/>
      <x:c r="D990" s="25"/>
      <x:c r="E990" s="25"/>
      <x:c r="F990" s="25"/>
      <x:c r="G990" s="25"/>
      <x:c r="H990" s="25"/>
    </x:row>
    <x:row r="991">
      <x:c r="A991" s="25"/>
      <x:c r="B991" s="25"/>
      <x:c r="C991" s="25"/>
      <x:c r="D991" s="25"/>
      <x:c r="E991" s="25"/>
      <x:c r="F991" s="25"/>
      <x:c r="G991" s="25"/>
      <x:c r="H991" s="25"/>
    </x:row>
    <x:row r="993">
      <x:c r="A993" s="108" t="str">
        <x:v>BULLETIN DE PAIE – AAEA / AfWASA</x:v>
      </x:c>
      <x:c r="B993" s="108"/>
      <x:c r="C993" s="108"/>
      <x:c r="D993" s="108"/>
      <x:c r="E993" s="108"/>
      <x:c r="F993" s="108"/>
      <x:c r="G993" s="108"/>
      <x:c r="H993" s="108"/>
    </x:row>
    <x:row r="994">
      <x:c r="A994" s="25" t="str">
        <x:v>Matricule</x:v>
      </x:c>
      <x:c r="B994" s="25" t="str">
        <x:f>Lot_paie!A33</x:f>
        <x:v>0106J</x:v>
      </x:c>
      <x:c r="C994" s="25" t="str">
        <x:v>Période</x:v>
      </x:c>
      <x:c r="D994" s="25" t="str">
        <x:f>Parametres_Paie!$B$26</x:f>
        <x:v>Janvier 2025</x:v>
      </x:c>
      <x:c r="E994" s="25" t="str">
        <x:v>Paiement</x:v>
      </x:c>
      <x:c r="F994" s="25" t="n">
        <x:f>Parametres_Paie!$B$25</x:f>
        <x:v>45688</x:v>
      </x:c>
      <x:c r="G994" s="25" t="str"/>
      <x:c r="H994" s="25" t="str"/>
    </x:row>
    <x:row r="995">
      <x:c r="A995" s="25" t="str">
        <x:v>Nom et prénom</x:v>
      </x:c>
      <x:c r="B995" s="25" t="str">
        <x:f>Lot_paie!B33&amp;" "&amp;Lot_paie!C33</x:f>
        <x:v>ELOUNDOU Elvis Bertrand</x:v>
      </x:c>
      <x:c r="C995" s="25" t="str">
        <x:v>Poste</x:v>
      </x:c>
      <x:c r="D995" s="25" t="str">
        <x:f>Lot_paie!F33</x:f>
        <x:v>Spécialiste GPC</x:v>
      </x:c>
      <x:c r="E995" s="25" t="str">
        <x:v>CNPS</x:v>
      </x:c>
      <x:c r="F995" s="25" t="n">
        <x:f>Lot_paie!J33</x:f>
        <x:v>202400074775</x:v>
      </x:c>
      <x:c r="G995" s="25" t="str"/>
      <x:c r="H995" s="25" t="str"/>
    </x:row>
    <x:row r="996">
      <x:c r="A996" s="25" t="str">
        <x:v>Direction</x:v>
      </x:c>
      <x:c r="B996" s="25" t="str">
        <x:f>Lot_paie!D33</x:f>
        <x:v>Direction des Services aux Membres et des Programmes</x:v>
      </x:c>
      <x:c r="C996" s="25" t="str">
        <x:v>Date entrée</x:v>
      </x:c>
      <x:c r="D996" s="25" t="n">
        <x:f>Lot_paie!I33</x:f>
        <x:v>45453</x:v>
      </x:c>
      <x:c r="E996" s="25" t="str">
        <x:v>Ancienneté</x:v>
      </x:c>
      <x:c r="F996" s="25" t="str">
        <x:f>Lot_paie!V33</x:f>
        <x:v>0 ans (calcul période)</x:v>
      </x:c>
      <x:c r="G996" s="25" t="str"/>
      <x:c r="H996" s="25" t="str"/>
    </x:row>
    <x:row r="997">
      <x:c r="A997" s="25"/>
      <x:c r="B997" s="25"/>
      <x:c r="C997" s="25"/>
      <x:c r="D997" s="25"/>
      <x:c r="E997" s="25"/>
      <x:c r="F997" s="25"/>
      <x:c r="G997" s="25"/>
      <x:c r="H997" s="25"/>
    </x:row>
    <x:row r="998">
      <x:c r="A998" s="14" t="str">
        <x:v>N°</x:v>
      </x:c>
      <x:c r="B998" s="14" t="str">
        <x:v>Désignation</x:v>
      </x:c>
      <x:c r="C998" s="14" t="str">
        <x:v>Nombre</x:v>
      </x:c>
      <x:c r="D998" s="14" t="str">
        <x:v>Base</x:v>
      </x:c>
      <x:c r="E998" s="14" t="str">
        <x:v>Taux Sal.</x:v>
      </x:c>
      <x:c r="F998" s="14" t="str">
        <x:v>Ret. Sal.</x:v>
      </x:c>
      <x:c r="G998" s="14" t="str">
        <x:v>Taux Pat.</x:v>
      </x:c>
      <x:c r="H998" s="14" t="str">
        <x:v>Ret. Pat.</x:v>
      </x:c>
    </x:row>
    <x:row r="999">
      <x:c r="A999" s="25" t="str">
        <x:v>100</x:v>
      </x:c>
      <x:c r="B999" s="25" t="str">
        <x:v>Salaire de base</x:v>
      </x:c>
      <x:c r="C999" s="25" t="str">
        <x:v>30</x:v>
      </x:c>
      <x:c r="D999" s="64" t="n">
        <x:f>Lot_paie!K33</x:f>
        <x:v>0</x:v>
      </x:c>
      <x:c r="E999" s="64" t="str"/>
      <x:c r="F999" s="64" t="str"/>
      <x:c r="G999" s="64" t="str"/>
      <x:c r="H999" s="64" t="str"/>
    </x:row>
    <x:row r="1000">
      <x:c r="A1000" s="25" t="str">
        <x:v>110</x:v>
      </x:c>
      <x:c r="B1000" s="25" t="str">
        <x:v>Sursalaire</x:v>
      </x:c>
      <x:c r="C1000" s="25" t="str">
        <x:v>30</x:v>
      </x:c>
      <x:c r="D1000" s="64" t="n">
        <x:f>Lot_paie!L33</x:f>
        <x:v>0</x:v>
      </x:c>
      <x:c r="E1000" s="64" t="str"/>
      <x:c r="F1000" s="64" t="str"/>
      <x:c r="G1000" s="64" t="str"/>
      <x:c r="H1000" s="64" t="str"/>
    </x:row>
    <x:row r="1001">
      <x:c r="A1001" s="25" t="str">
        <x:v>120</x:v>
      </x:c>
      <x:c r="B1001" s="25" t="str">
        <x:v>Prime ancienneté</x:v>
      </x:c>
      <x:c r="C1001" s="25" t="n">
        <x:f>Lot_paie!U33</x:f>
        <x:v>0</x:v>
      </x:c>
      <x:c r="D1001" s="64" t="n">
        <x:f>Lot_paie!X33</x:f>
        <x:v>0</x:v>
      </x:c>
      <x:c r="E1001" s="64" t="str"/>
      <x:c r="F1001" s="64" t="str"/>
      <x:c r="G1001" s="64" t="str"/>
      <x:c r="H1001" s="64" t="str"/>
    </x:row>
    <x:row r="1002">
      <x:c r="A1002" s="25" t="str"/>
      <x:c r="B1002" s="24" t="str">
        <x:v>Total brut imposable</x:v>
      </x:c>
      <x:c r="C1002" s="24" t="str"/>
      <x:c r="D1002" s="76" t="str"/>
      <x:c r="E1002" s="76" t="str"/>
      <x:c r="F1002" s="76" t="n">
        <x:f>Lot_paie!AA33</x:f>
        <x:v>0</x:v>
      </x:c>
      <x:c r="G1002" s="76" t="str"/>
      <x:c r="H1002" s="76" t="str"/>
    </x:row>
    <x:row r="1003">
      <x:c r="A1003" s="25" t="str">
        <x:v>810</x:v>
      </x:c>
      <x:c r="B1003" s="25" t="str">
        <x:v>C.N.P.S.</x:v>
      </x:c>
      <x:c r="C1003" s="25" t="str"/>
      <x:c r="D1003" s="64" t="n">
        <x:f>Lot_paie!AB33</x:f>
        <x:v>0</x:v>
      </x:c>
      <x:c r="E1003" s="66" t="n">
        <x:f>Parametres_Paie!$B$4</x:f>
        <x:v>0.063</x:v>
      </x:c>
      <x:c r="F1003" s="64" t="n">
        <x:f>Lot_paie!AC33</x:f>
        <x:v>0</x:v>
      </x:c>
      <x:c r="G1003" s="66" t="n">
        <x:f>Parametres_Paie!$B$5</x:f>
        <x:v>0.077</x:v>
      </x:c>
      <x:c r="H1003" s="64" t="n">
        <x:f>Lot_paie!AH33</x:f>
        <x:v>0</x:v>
      </x:c>
    </x:row>
    <x:row r="1004">
      <x:c r="A1004" s="25" t="str">
        <x:v>815</x:v>
      </x:c>
      <x:c r="B1004" s="25" t="str">
        <x:v>Retenue CMU employé</x:v>
      </x:c>
      <x:c r="C1004" s="25" t="str"/>
      <x:c r="D1004" s="64" t="n">
        <x:f>Lot_paie!AD33</x:f>
        <x:v>0</x:v>
      </x:c>
      <x:c r="E1004" s="64" t="str"/>
      <x:c r="F1004" s="64" t="n">
        <x:f>Lot_paie!AD33</x:f>
        <x:v>0</x:v>
      </x:c>
      <x:c r="G1004" s="66" t="str"/>
      <x:c r="H1004" s="64" t="n">
        <x:f>Lot_paie!AL33</x:f>
        <x:v>0</x:v>
      </x:c>
    </x:row>
    <x:row r="1005">
      <x:c r="A1005" s="25" t="str">
        <x:v>860</x:v>
      </x:c>
      <x:c r="B1005" s="25" t="str">
        <x:v>I.T.S</x:v>
      </x:c>
      <x:c r="C1005" s="25" t="str"/>
      <x:c r="D1005" s="64" t="n">
        <x:f>Lot_paie!AA33</x:f>
        <x:v>0</x:v>
      </x:c>
      <x:c r="E1005" s="64" t="str"/>
      <x:c r="F1005" s="64" t="n">
        <x:f>Lot_paie!AF33</x:f>
        <x:v>0</x:v>
      </x:c>
      <x:c r="G1005" s="66" t="str"/>
      <x:c r="H1005" s="64" t="str"/>
    </x:row>
    <x:row r="1006">
      <x:c r="A1006" s="25" t="str">
        <x:v>912</x:v>
      </x:c>
      <x:c r="B1006" s="25" t="str">
        <x:v>Prestation Familiale</x:v>
      </x:c>
      <x:c r="C1006" s="25" t="str"/>
      <x:c r="D1006" s="64" t="n">
        <x:f>Parametres_Paie!$B$7</x:f>
        <x:v>75000</x:v>
      </x:c>
      <x:c r="E1006" s="64" t="str"/>
      <x:c r="F1006" s="64" t="str"/>
      <x:c r="G1006" s="66" t="n">
        <x:f>Parametres_Paie!$B$8</x:f>
        <x:v>0.05</x:v>
      </x:c>
      <x:c r="H1006" s="64" t="n">
        <x:f>Lot_paie!AI33</x:f>
        <x:v>0</x:v>
      </x:c>
    </x:row>
    <x:row r="1007">
      <x:c r="A1007" s="25" t="str">
        <x:v>913</x:v>
      </x:c>
      <x:c r="B1007" s="25" t="str">
        <x:v>Accident de Travail</x:v>
      </x:c>
      <x:c r="C1007" s="25" t="str"/>
      <x:c r="D1007" s="64" t="n">
        <x:f>Parametres_Paie!$B$7</x:f>
        <x:v>75000</x:v>
      </x:c>
      <x:c r="E1007" s="64" t="str"/>
      <x:c r="F1007" s="64" t="str"/>
      <x:c r="G1007" s="66" t="n">
        <x:f>Lot_paie!T33</x:f>
        <x:v>0.02</x:v>
      </x:c>
      <x:c r="H1007" s="64" t="n">
        <x:f>Lot_paie!AJ33</x:f>
        <x:v>0</x:v>
      </x:c>
    </x:row>
    <x:row r="1008">
      <x:c r="A1008" s="25" t="str">
        <x:v>914</x:v>
      </x:c>
      <x:c r="B1008" s="25" t="str">
        <x:v>Assurance Maternité</x:v>
      </x:c>
      <x:c r="C1008" s="25" t="str"/>
      <x:c r="D1008" s="64" t="n">
        <x:f>Parametres_Paie!$B$7</x:f>
        <x:v>75000</x:v>
      </x:c>
      <x:c r="E1008" s="64" t="str"/>
      <x:c r="F1008" s="64" t="str"/>
      <x:c r="G1008" s="66" t="n">
        <x:f>Parametres_Paie!$B$9</x:f>
        <x:v>0.0075</x:v>
      </x:c>
      <x:c r="H1008" s="64" t="n">
        <x:f>Lot_paie!AK33</x:f>
        <x:v>0</x:v>
      </x:c>
    </x:row>
    <x:row r="1009">
      <x:c r="A1009" s="25" t="str">
        <x:v>924</x:v>
      </x:c>
      <x:c r="B1009" s="25" t="str">
        <x:v>I.S. Employeur Local</x:v>
      </x:c>
      <x:c r="C1009" s="25" t="str"/>
      <x:c r="D1009" s="64" t="n">
        <x:f>Lot_paie!AA33</x:f>
        <x:v>0</x:v>
      </x:c>
      <x:c r="E1009" s="64" t="str"/>
      <x:c r="F1009" s="64" t="str"/>
      <x:c r="G1009" s="66" t="n">
        <x:f>Parametres_Paie!$B$15</x:f>
        <x:v>0.012</x:v>
      </x:c>
      <x:c r="H1009" s="64" t="n">
        <x:f>Lot_paie!AM33</x:f>
        <x:v>0</x:v>
      </x:c>
    </x:row>
    <x:row r="1010">
      <x:c r="A1010" s="25" t="str">
        <x:v>930</x:v>
      </x:c>
      <x:c r="B1010" s="25" t="str">
        <x:v>Taxe d’Apprentissage</x:v>
      </x:c>
      <x:c r="C1010" s="25" t="str"/>
      <x:c r="D1010" s="64" t="n">
        <x:f>Lot_paie!AA33</x:f>
        <x:v>0</x:v>
      </x:c>
      <x:c r="E1010" s="64" t="str"/>
      <x:c r="F1010" s="64" t="str"/>
      <x:c r="G1010" s="66" t="n">
        <x:f>Parametres_Paie!$B$16</x:f>
        <x:v>0.004</x:v>
      </x:c>
      <x:c r="H1010" s="64" t="n">
        <x:f>Lot_paie!AN33</x:f>
        <x:v>0</x:v>
      </x:c>
    </x:row>
    <x:row r="1011">
      <x:c r="A1011" s="25" t="str">
        <x:v>931</x:v>
      </x:c>
      <x:c r="B1011" s="25" t="str">
        <x:v>Taxe Formation Professionnelle Continue</x:v>
      </x:c>
      <x:c r="C1011" s="25" t="str"/>
      <x:c r="D1011" s="64" t="n">
        <x:f>Lot_paie!AA33</x:f>
        <x:v>0</x:v>
      </x:c>
      <x:c r="E1011" s="64" t="str"/>
      <x:c r="F1011" s="64" t="str"/>
      <x:c r="G1011" s="66" t="n">
        <x:f>Parametres_Paie!$B$17</x:f>
        <x:v>0.006</x:v>
      </x:c>
      <x:c r="H1011" s="64" t="n">
        <x:f>Lot_paie!AO33</x:f>
        <x:v>0</x:v>
      </x:c>
    </x:row>
    <x:row r="1012">
      <x:c r="A1012" s="25" t="str">
        <x:v>932</x:v>
      </x:c>
      <x:c r="B1012" s="25" t="str">
        <x:v>Taxe FPC Fin d’année</x:v>
      </x:c>
      <x:c r="C1012" s="25" t="str"/>
      <x:c r="D1012" s="64" t="n">
        <x:f>Lot_paie!AA33</x:f>
        <x:v>0</x:v>
      </x:c>
      <x:c r="E1012" s="64" t="str"/>
      <x:c r="F1012" s="64" t="str"/>
      <x:c r="G1012" s="66" t="n">
        <x:f>Parametres_Paie!$B$18</x:f>
        <x:v>0.006</x:v>
      </x:c>
      <x:c r="H1012" s="64" t="n">
        <x:f>Lot_paie!AP33</x:f>
        <x:v>0</x:v>
      </x:c>
    </x:row>
    <x:row r="1013">
      <x:c r="A1013" s="25" t="str"/>
      <x:c r="B1013" s="83" t="str">
        <x:v>Total retenues fiscales et sociales</x:v>
      </x:c>
      <x:c r="C1013" s="83" t="str"/>
      <x:c r="D1013" s="84" t="str"/>
      <x:c r="E1013" s="84" t="str"/>
      <x:c r="F1013" s="84" t="n">
        <x:f>Lot_paie!AG33</x:f>
        <x:v>0</x:v>
      </x:c>
      <x:c r="G1013" s="85" t="str"/>
      <x:c r="H1013" s="84" t="n">
        <x:f>Lot_paie!AQ33</x:f>
        <x:v>0</x:v>
      </x:c>
    </x:row>
    <x:row r="1014">
      <x:c r="A1014" s="25" t="str">
        <x:v>204</x:v>
      </x:c>
      <x:c r="B1014" s="25" t="str">
        <x:v>Indemnité Transport N. Imposable</x:v>
      </x:c>
      <x:c r="C1014" s="25" t="str">
        <x:v>30</x:v>
      </x:c>
      <x:c r="D1014" s="64" t="n">
        <x:f>Lot_paie!Y33</x:f>
        <x:v>0</x:v>
      </x:c>
      <x:c r="E1014" s="64" t="str"/>
      <x:c r="F1014" s="64" t="n">
        <x:f>Lot_paie!Y33</x:f>
        <x:v>0</x:v>
      </x:c>
      <x:c r="G1014" s="66" t="str"/>
      <x:c r="H1014" s="64" t="str"/>
    </x:row>
    <x:row r="1015">
      <x:c r="A1015" s="25" t="str"/>
      <x:c r="B1015" s="25" t="str">
        <x:v>Total gains non imposables</x:v>
      </x:c>
      <x:c r="C1015" s="25" t="str"/>
      <x:c r="D1015" s="64" t="str"/>
      <x:c r="E1015" s="64" t="str"/>
      <x:c r="F1015" s="64" t="n">
        <x:f>Lot_paie!AR33</x:f>
        <x:v>0</x:v>
      </x:c>
      <x:c r="G1015" s="66" t="str"/>
      <x:c r="H1015" s="64" t="str"/>
    </x:row>
    <x:row r="1016">
      <x:c r="A1016" s="25" t="str"/>
      <x:c r="B1016" s="110" t="str">
        <x:v>NET À PAYER</x:v>
      </x:c>
      <x:c r="C1016" s="110" t="str"/>
      <x:c r="D1016" s="111" t="str"/>
      <x:c r="E1016" s="111" t="str"/>
      <x:c r="F1016" s="111" t="str"/>
      <x:c r="G1016" s="112" t="str"/>
      <x:c r="H1016" s="111" t="n">
        <x:f>Lot_paie!AT33</x:f>
        <x:v>0</x:v>
      </x:c>
    </x:row>
    <x:row r="1017">
      <x:c r="A1017" s="25"/>
      <x:c r="B1017" s="25"/>
      <x:c r="C1017" s="25"/>
      <x:c r="D1017" s="25"/>
      <x:c r="E1017" s="25"/>
      <x:c r="F1017" s="25"/>
      <x:c r="G1017" s="25"/>
      <x:c r="H1017" s="25"/>
    </x:row>
    <x:row r="1018">
      <x:c r="A1018" s="25"/>
      <x:c r="B1018" s="25"/>
      <x:c r="C1018" s="25"/>
      <x:c r="D1018" s="25"/>
      <x:c r="E1018" s="25"/>
      <x:c r="F1018" s="25"/>
      <x:c r="G1018" s="25"/>
      <x:c r="H1018" s="25"/>
    </x:row>
    <x:row r="1019">
      <x:c r="A1019" s="25"/>
      <x:c r="B1019" s="25"/>
      <x:c r="C1019" s="25"/>
      <x:c r="D1019" s="25"/>
      <x:c r="E1019" s="25"/>
      <x:c r="F1019" s="25"/>
      <x:c r="G1019" s="25"/>
      <x:c r="H1019" s="25"/>
    </x:row>
    <x:row r="1020">
      <x:c r="A1020" s="25"/>
      <x:c r="B1020" s="25"/>
      <x:c r="C1020" s="25"/>
      <x:c r="D1020" s="25"/>
      <x:c r="E1020" s="25"/>
      <x:c r="F1020" s="25"/>
      <x:c r="G1020" s="25"/>
      <x:c r="H1020" s="25"/>
    </x:row>
    <x:row r="1021">
      <x:c r="A1021" s="25"/>
      <x:c r="B1021" s="25"/>
      <x:c r="C1021" s="25"/>
      <x:c r="D1021" s="25"/>
      <x:c r="E1021" s="25"/>
      <x:c r="F1021" s="25"/>
      <x:c r="G1021" s="25"/>
      <x:c r="H1021" s="25"/>
    </x:row>
    <x:row r="1022">
      <x:c r="A1022" s="25"/>
      <x:c r="B1022" s="25"/>
      <x:c r="C1022" s="25"/>
      <x:c r="D1022" s="25"/>
      <x:c r="E1022" s="25"/>
      <x:c r="F1022" s="25"/>
      <x:c r="G1022" s="25"/>
      <x:c r="H1022" s="25"/>
    </x:row>
    <x:row r="1023">
      <x:c r="A1023" s="25"/>
      <x:c r="B1023" s="25"/>
      <x:c r="C1023" s="25"/>
      <x:c r="D1023" s="25"/>
      <x:c r="E1023" s="25"/>
      <x:c r="F1023" s="25"/>
      <x:c r="G1023" s="25"/>
      <x:c r="H1023" s="25"/>
    </x:row>
    <x:row r="1025">
      <x:c r="A1025" s="108" t="str">
        <x:v>BULLETIN DE PAIE – AAEA / AfWASA</x:v>
      </x:c>
      <x:c r="B1025" s="108"/>
      <x:c r="C1025" s="108"/>
      <x:c r="D1025" s="108"/>
      <x:c r="E1025" s="108"/>
      <x:c r="F1025" s="108"/>
      <x:c r="G1025" s="108"/>
      <x:c r="H1025" s="108"/>
    </x:row>
    <x:row r="1026">
      <x:c r="A1026" s="25" t="str">
        <x:v>Matricule</x:v>
      </x:c>
      <x:c r="B1026" s="25" t="str">
        <x:f>Lot_paie!A34</x:f>
        <x:v>0107J</x:v>
      </x:c>
      <x:c r="C1026" s="25" t="str">
        <x:v>Période</x:v>
      </x:c>
      <x:c r="D1026" s="25" t="str">
        <x:f>Parametres_Paie!$B$26</x:f>
        <x:v>Janvier 2025</x:v>
      </x:c>
      <x:c r="E1026" s="25" t="str">
        <x:v>Paiement</x:v>
      </x:c>
      <x:c r="F1026" s="25" t="n">
        <x:f>Parametres_Paie!$B$25</x:f>
        <x:v>45688</x:v>
      </x:c>
      <x:c r="G1026" s="25" t="str"/>
      <x:c r="H1026" s="25" t="str"/>
    </x:row>
    <x:row r="1027">
      <x:c r="A1027" s="25" t="str">
        <x:v>Nom et prénom</x:v>
      </x:c>
      <x:c r="B1027" s="25" t="str">
        <x:f>Lot_paie!B34&amp;" "&amp;Lot_paie!C34</x:f>
        <x:v>BAWA Kitchnime Gotau</x:v>
      </x:c>
      <x:c r="C1027" s="25" t="str">
        <x:v>Poste</x:v>
      </x:c>
      <x:c r="D1027" s="25" t="str">
        <x:f>Lot_paie!F34</x:f>
        <x:v>Coordonnateur Programme PASAOS</x:v>
      </x:c>
      <x:c r="E1027" s="25" t="str">
        <x:v>CNPS</x:v>
      </x:c>
      <x:c r="F1027" s="25" t="n">
        <x:f>Lot_paie!J34</x:f>
        <x:v>202400072233</x:v>
      </x:c>
      <x:c r="G1027" s="25" t="str"/>
      <x:c r="H1027" s="25" t="str"/>
    </x:row>
    <x:row r="1028">
      <x:c r="A1028" s="25" t="str">
        <x:v>Direction</x:v>
      </x:c>
      <x:c r="B1028" s="25" t="str">
        <x:f>Lot_paie!D34</x:f>
        <x:v>Direction des Services aux Membres et des Programmes</x:v>
      </x:c>
      <x:c r="C1028" s="25" t="str">
        <x:v>Date entrée</x:v>
      </x:c>
      <x:c r="D1028" s="25" t="n">
        <x:f>Lot_paie!I34</x:f>
        <x:v>45460</x:v>
      </x:c>
      <x:c r="E1028" s="25" t="str">
        <x:v>Ancienneté</x:v>
      </x:c>
      <x:c r="F1028" s="25" t="str">
        <x:f>Lot_paie!V34</x:f>
        <x:v>0 ans (calcul période)</x:v>
      </x:c>
      <x:c r="G1028" s="25" t="str"/>
      <x:c r="H1028" s="25" t="str"/>
    </x:row>
    <x:row r="1029">
      <x:c r="A1029" s="25"/>
      <x:c r="B1029" s="25"/>
      <x:c r="C1029" s="25"/>
      <x:c r="D1029" s="25"/>
      <x:c r="E1029" s="25"/>
      <x:c r="F1029" s="25"/>
      <x:c r="G1029" s="25"/>
      <x:c r="H1029" s="25"/>
    </x:row>
    <x:row r="1030">
      <x:c r="A1030" s="14" t="str">
        <x:v>N°</x:v>
      </x:c>
      <x:c r="B1030" s="14" t="str">
        <x:v>Désignation</x:v>
      </x:c>
      <x:c r="C1030" s="14" t="str">
        <x:v>Nombre</x:v>
      </x:c>
      <x:c r="D1030" s="14" t="str">
        <x:v>Base</x:v>
      </x:c>
      <x:c r="E1030" s="14" t="str">
        <x:v>Taux Sal.</x:v>
      </x:c>
      <x:c r="F1030" s="14" t="str">
        <x:v>Ret. Sal.</x:v>
      </x:c>
      <x:c r="G1030" s="14" t="str">
        <x:v>Taux Pat.</x:v>
      </x:c>
      <x:c r="H1030" s="14" t="str">
        <x:v>Ret. Pat.</x:v>
      </x:c>
    </x:row>
    <x:row r="1031">
      <x:c r="A1031" s="25" t="str">
        <x:v>100</x:v>
      </x:c>
      <x:c r="B1031" s="25" t="str">
        <x:v>Salaire de base</x:v>
      </x:c>
      <x:c r="C1031" s="25" t="str">
        <x:v>30</x:v>
      </x:c>
      <x:c r="D1031" s="64" t="n">
        <x:f>Lot_paie!K34</x:f>
        <x:v>0</x:v>
      </x:c>
      <x:c r="E1031" s="64" t="str"/>
      <x:c r="F1031" s="64" t="str"/>
      <x:c r="G1031" s="64" t="str"/>
      <x:c r="H1031" s="64" t="str"/>
    </x:row>
    <x:row r="1032">
      <x:c r="A1032" s="25" t="str">
        <x:v>110</x:v>
      </x:c>
      <x:c r="B1032" s="25" t="str">
        <x:v>Sursalaire</x:v>
      </x:c>
      <x:c r="C1032" s="25" t="str">
        <x:v>30</x:v>
      </x:c>
      <x:c r="D1032" s="64" t="n">
        <x:f>Lot_paie!L34</x:f>
        <x:v>0</x:v>
      </x:c>
      <x:c r="E1032" s="64" t="str"/>
      <x:c r="F1032" s="64" t="str"/>
      <x:c r="G1032" s="64" t="str"/>
      <x:c r="H1032" s="64" t="str"/>
    </x:row>
    <x:row r="1033">
      <x:c r="A1033" s="25" t="str">
        <x:v>120</x:v>
      </x:c>
      <x:c r="B1033" s="25" t="str">
        <x:v>Prime ancienneté</x:v>
      </x:c>
      <x:c r="C1033" s="25" t="n">
        <x:f>Lot_paie!U34</x:f>
        <x:v>0</x:v>
      </x:c>
      <x:c r="D1033" s="64" t="n">
        <x:f>Lot_paie!X34</x:f>
        <x:v>0</x:v>
      </x:c>
      <x:c r="E1033" s="64" t="str"/>
      <x:c r="F1033" s="64" t="str"/>
      <x:c r="G1033" s="64" t="str"/>
      <x:c r="H1033" s="64" t="str"/>
    </x:row>
    <x:row r="1034">
      <x:c r="A1034" s="25" t="str"/>
      <x:c r="B1034" s="24" t="str">
        <x:v>Total brut imposable</x:v>
      </x:c>
      <x:c r="C1034" s="24" t="str"/>
      <x:c r="D1034" s="76" t="str"/>
      <x:c r="E1034" s="76" t="str"/>
      <x:c r="F1034" s="76" t="n">
        <x:f>Lot_paie!AA34</x:f>
        <x:v>0</x:v>
      </x:c>
      <x:c r="G1034" s="76" t="str"/>
      <x:c r="H1034" s="76" t="str"/>
    </x:row>
    <x:row r="1035">
      <x:c r="A1035" s="25" t="str">
        <x:v>810</x:v>
      </x:c>
      <x:c r="B1035" s="25" t="str">
        <x:v>C.N.P.S.</x:v>
      </x:c>
      <x:c r="C1035" s="25" t="str"/>
      <x:c r="D1035" s="64" t="n">
        <x:f>Lot_paie!AB34</x:f>
        <x:v>0</x:v>
      </x:c>
      <x:c r="E1035" s="66" t="n">
        <x:f>Parametres_Paie!$B$4</x:f>
        <x:v>0.063</x:v>
      </x:c>
      <x:c r="F1035" s="64" t="n">
        <x:f>Lot_paie!AC34</x:f>
        <x:v>0</x:v>
      </x:c>
      <x:c r="G1035" s="66" t="n">
        <x:f>Parametres_Paie!$B$5</x:f>
        <x:v>0.077</x:v>
      </x:c>
      <x:c r="H1035" s="64" t="n">
        <x:f>Lot_paie!AH34</x:f>
        <x:v>0</x:v>
      </x:c>
    </x:row>
    <x:row r="1036">
      <x:c r="A1036" s="25" t="str">
        <x:v>815</x:v>
      </x:c>
      <x:c r="B1036" s="25" t="str">
        <x:v>Retenue CMU employé</x:v>
      </x:c>
      <x:c r="C1036" s="25" t="str"/>
      <x:c r="D1036" s="64" t="n">
        <x:f>Lot_paie!AD34</x:f>
        <x:v>0</x:v>
      </x:c>
      <x:c r="E1036" s="64" t="str"/>
      <x:c r="F1036" s="64" t="n">
        <x:f>Lot_paie!AD34</x:f>
        <x:v>0</x:v>
      </x:c>
      <x:c r="G1036" s="66" t="str"/>
      <x:c r="H1036" s="64" t="n">
        <x:f>Lot_paie!AL34</x:f>
        <x:v>0</x:v>
      </x:c>
    </x:row>
    <x:row r="1037">
      <x:c r="A1037" s="25" t="str">
        <x:v>860</x:v>
      </x:c>
      <x:c r="B1037" s="25" t="str">
        <x:v>I.T.S</x:v>
      </x:c>
      <x:c r="C1037" s="25" t="str"/>
      <x:c r="D1037" s="64" t="n">
        <x:f>Lot_paie!AA34</x:f>
        <x:v>0</x:v>
      </x:c>
      <x:c r="E1037" s="64" t="str"/>
      <x:c r="F1037" s="64" t="n">
        <x:f>Lot_paie!AF34</x:f>
        <x:v>0</x:v>
      </x:c>
      <x:c r="G1037" s="66" t="str"/>
      <x:c r="H1037" s="64" t="str"/>
    </x:row>
    <x:row r="1038">
      <x:c r="A1038" s="25" t="str">
        <x:v>912</x:v>
      </x:c>
      <x:c r="B1038" s="25" t="str">
        <x:v>Prestation Familiale</x:v>
      </x:c>
      <x:c r="C1038" s="25" t="str"/>
      <x:c r="D1038" s="64" t="n">
        <x:f>Parametres_Paie!$B$7</x:f>
        <x:v>75000</x:v>
      </x:c>
      <x:c r="E1038" s="64" t="str"/>
      <x:c r="F1038" s="64" t="str"/>
      <x:c r="G1038" s="66" t="n">
        <x:f>Parametres_Paie!$B$8</x:f>
        <x:v>0.05</x:v>
      </x:c>
      <x:c r="H1038" s="64" t="n">
        <x:f>Lot_paie!AI34</x:f>
        <x:v>0</x:v>
      </x:c>
    </x:row>
    <x:row r="1039">
      <x:c r="A1039" s="25" t="str">
        <x:v>913</x:v>
      </x:c>
      <x:c r="B1039" s="25" t="str">
        <x:v>Accident de Travail</x:v>
      </x:c>
      <x:c r="C1039" s="25" t="str"/>
      <x:c r="D1039" s="64" t="n">
        <x:f>Parametres_Paie!$B$7</x:f>
        <x:v>75000</x:v>
      </x:c>
      <x:c r="E1039" s="64" t="str"/>
      <x:c r="F1039" s="64" t="str"/>
      <x:c r="G1039" s="66" t="n">
        <x:f>Lot_paie!T34</x:f>
        <x:v>0.02</x:v>
      </x:c>
      <x:c r="H1039" s="64" t="n">
        <x:f>Lot_paie!AJ34</x:f>
        <x:v>0</x:v>
      </x:c>
    </x:row>
    <x:row r="1040">
      <x:c r="A1040" s="25" t="str">
        <x:v>914</x:v>
      </x:c>
      <x:c r="B1040" s="25" t="str">
        <x:v>Assurance Maternité</x:v>
      </x:c>
      <x:c r="C1040" s="25" t="str"/>
      <x:c r="D1040" s="64" t="n">
        <x:f>Parametres_Paie!$B$7</x:f>
        <x:v>75000</x:v>
      </x:c>
      <x:c r="E1040" s="64" t="str"/>
      <x:c r="F1040" s="64" t="str"/>
      <x:c r="G1040" s="66" t="n">
        <x:f>Parametres_Paie!$B$9</x:f>
        <x:v>0.0075</x:v>
      </x:c>
      <x:c r="H1040" s="64" t="n">
        <x:f>Lot_paie!AK34</x:f>
        <x:v>0</x:v>
      </x:c>
    </x:row>
    <x:row r="1041">
      <x:c r="A1041" s="25" t="str">
        <x:v>924</x:v>
      </x:c>
      <x:c r="B1041" s="25" t="str">
        <x:v>I.S. Employeur Local</x:v>
      </x:c>
      <x:c r="C1041" s="25" t="str"/>
      <x:c r="D1041" s="64" t="n">
        <x:f>Lot_paie!AA34</x:f>
        <x:v>0</x:v>
      </x:c>
      <x:c r="E1041" s="64" t="str"/>
      <x:c r="F1041" s="64" t="str"/>
      <x:c r="G1041" s="66" t="n">
        <x:f>Parametres_Paie!$B$15</x:f>
        <x:v>0.012</x:v>
      </x:c>
      <x:c r="H1041" s="64" t="n">
        <x:f>Lot_paie!AM34</x:f>
        <x:v>0</x:v>
      </x:c>
    </x:row>
    <x:row r="1042">
      <x:c r="A1042" s="25" t="str">
        <x:v>930</x:v>
      </x:c>
      <x:c r="B1042" s="25" t="str">
        <x:v>Taxe d’Apprentissage</x:v>
      </x:c>
      <x:c r="C1042" s="25" t="str"/>
      <x:c r="D1042" s="64" t="n">
        <x:f>Lot_paie!AA34</x:f>
        <x:v>0</x:v>
      </x:c>
      <x:c r="E1042" s="64" t="str"/>
      <x:c r="F1042" s="64" t="str"/>
      <x:c r="G1042" s="66" t="n">
        <x:f>Parametres_Paie!$B$16</x:f>
        <x:v>0.004</x:v>
      </x:c>
      <x:c r="H1042" s="64" t="n">
        <x:f>Lot_paie!AN34</x:f>
        <x:v>0</x:v>
      </x:c>
    </x:row>
    <x:row r="1043">
      <x:c r="A1043" s="25" t="str">
        <x:v>931</x:v>
      </x:c>
      <x:c r="B1043" s="25" t="str">
        <x:v>Taxe Formation Professionnelle Continue</x:v>
      </x:c>
      <x:c r="C1043" s="25" t="str"/>
      <x:c r="D1043" s="64" t="n">
        <x:f>Lot_paie!AA34</x:f>
        <x:v>0</x:v>
      </x:c>
      <x:c r="E1043" s="64" t="str"/>
      <x:c r="F1043" s="64" t="str"/>
      <x:c r="G1043" s="66" t="n">
        <x:f>Parametres_Paie!$B$17</x:f>
        <x:v>0.006</x:v>
      </x:c>
      <x:c r="H1043" s="64" t="n">
        <x:f>Lot_paie!AO34</x:f>
        <x:v>0</x:v>
      </x:c>
    </x:row>
    <x:row r="1044">
      <x:c r="A1044" s="25" t="str">
        <x:v>932</x:v>
      </x:c>
      <x:c r="B1044" s="25" t="str">
        <x:v>Taxe FPC Fin d’année</x:v>
      </x:c>
      <x:c r="C1044" s="25" t="str"/>
      <x:c r="D1044" s="64" t="n">
        <x:f>Lot_paie!AA34</x:f>
        <x:v>0</x:v>
      </x:c>
      <x:c r="E1044" s="64" t="str"/>
      <x:c r="F1044" s="64" t="str"/>
      <x:c r="G1044" s="66" t="n">
        <x:f>Parametres_Paie!$B$18</x:f>
        <x:v>0.006</x:v>
      </x:c>
      <x:c r="H1044" s="64" t="n">
        <x:f>Lot_paie!AP34</x:f>
        <x:v>0</x:v>
      </x:c>
    </x:row>
    <x:row r="1045">
      <x:c r="A1045" s="25" t="str"/>
      <x:c r="B1045" s="83" t="str">
        <x:v>Total retenues fiscales et sociales</x:v>
      </x:c>
      <x:c r="C1045" s="83" t="str"/>
      <x:c r="D1045" s="84" t="str"/>
      <x:c r="E1045" s="84" t="str"/>
      <x:c r="F1045" s="84" t="n">
        <x:f>Lot_paie!AG34</x:f>
        <x:v>0</x:v>
      </x:c>
      <x:c r="G1045" s="85" t="str"/>
      <x:c r="H1045" s="84" t="n">
        <x:f>Lot_paie!AQ34</x:f>
        <x:v>0</x:v>
      </x:c>
    </x:row>
    <x:row r="1046">
      <x:c r="A1046" s="25" t="str">
        <x:v>204</x:v>
      </x:c>
      <x:c r="B1046" s="25" t="str">
        <x:v>Indemnité Transport N. Imposable</x:v>
      </x:c>
      <x:c r="C1046" s="25" t="str">
        <x:v>30</x:v>
      </x:c>
      <x:c r="D1046" s="64" t="n">
        <x:f>Lot_paie!Y34</x:f>
        <x:v>0</x:v>
      </x:c>
      <x:c r="E1046" s="64" t="str"/>
      <x:c r="F1046" s="64" t="n">
        <x:f>Lot_paie!Y34</x:f>
        <x:v>0</x:v>
      </x:c>
      <x:c r="G1046" s="66" t="str"/>
      <x:c r="H1046" s="64" t="str"/>
    </x:row>
    <x:row r="1047">
      <x:c r="A1047" s="25" t="str"/>
      <x:c r="B1047" s="25" t="str">
        <x:v>Total gains non imposables</x:v>
      </x:c>
      <x:c r="C1047" s="25" t="str"/>
      <x:c r="D1047" s="64" t="str"/>
      <x:c r="E1047" s="64" t="str"/>
      <x:c r="F1047" s="64" t="n">
        <x:f>Lot_paie!AR34</x:f>
        <x:v>0</x:v>
      </x:c>
      <x:c r="G1047" s="66" t="str"/>
      <x:c r="H1047" s="64" t="str"/>
    </x:row>
    <x:row r="1048">
      <x:c r="A1048" s="25" t="str"/>
      <x:c r="B1048" s="110" t="str">
        <x:v>NET À PAYER</x:v>
      </x:c>
      <x:c r="C1048" s="110" t="str"/>
      <x:c r="D1048" s="111" t="str"/>
      <x:c r="E1048" s="111" t="str"/>
      <x:c r="F1048" s="111" t="str"/>
      <x:c r="G1048" s="112" t="str"/>
      <x:c r="H1048" s="111" t="n">
        <x:f>Lot_paie!AT34</x:f>
        <x:v>0</x:v>
      </x:c>
    </x:row>
    <x:row r="1049">
      <x:c r="A1049" s="25"/>
      <x:c r="B1049" s="25"/>
      <x:c r="C1049" s="25"/>
      <x:c r="D1049" s="25"/>
      <x:c r="E1049" s="25"/>
      <x:c r="F1049" s="25"/>
      <x:c r="G1049" s="25"/>
      <x:c r="H1049" s="25"/>
    </x:row>
    <x:row r="1050">
      <x:c r="A1050" s="25"/>
      <x:c r="B1050" s="25"/>
      <x:c r="C1050" s="25"/>
      <x:c r="D1050" s="25"/>
      <x:c r="E1050" s="25"/>
      <x:c r="F1050" s="25"/>
      <x:c r="G1050" s="25"/>
      <x:c r="H1050" s="25"/>
    </x:row>
    <x:row r="1051">
      <x:c r="A1051" s="25"/>
      <x:c r="B1051" s="25"/>
      <x:c r="C1051" s="25"/>
      <x:c r="D1051" s="25"/>
      <x:c r="E1051" s="25"/>
      <x:c r="F1051" s="25"/>
      <x:c r="G1051" s="25"/>
      <x:c r="H1051" s="25"/>
    </x:row>
    <x:row r="1052">
      <x:c r="A1052" s="25"/>
      <x:c r="B1052" s="25"/>
      <x:c r="C1052" s="25"/>
      <x:c r="D1052" s="25"/>
      <x:c r="E1052" s="25"/>
      <x:c r="F1052" s="25"/>
      <x:c r="G1052" s="25"/>
      <x:c r="H1052" s="25"/>
    </x:row>
    <x:row r="1053">
      <x:c r="A1053" s="25"/>
      <x:c r="B1053" s="25"/>
      <x:c r="C1053" s="25"/>
      <x:c r="D1053" s="25"/>
      <x:c r="E1053" s="25"/>
      <x:c r="F1053" s="25"/>
      <x:c r="G1053" s="25"/>
      <x:c r="H1053" s="25"/>
    </x:row>
    <x:row r="1054">
      <x:c r="A1054" s="25"/>
      <x:c r="B1054" s="25"/>
      <x:c r="C1054" s="25"/>
      <x:c r="D1054" s="25"/>
      <x:c r="E1054" s="25"/>
      <x:c r="F1054" s="25"/>
      <x:c r="G1054" s="25"/>
      <x:c r="H1054" s="25"/>
    </x:row>
    <x:row r="1055">
      <x:c r="A1055" s="25"/>
      <x:c r="B1055" s="25"/>
      <x:c r="C1055" s="25"/>
      <x:c r="D1055" s="25"/>
      <x:c r="E1055" s="25"/>
      <x:c r="F1055" s="25"/>
      <x:c r="G1055" s="25"/>
      <x:c r="H1055" s="25"/>
    </x:row>
    <x:row r="1057">
      <x:c r="A1057" s="108" t="str">
        <x:v>BULLETIN DE PAIE – AAEA / AfWASA</x:v>
      </x:c>
      <x:c r="B1057" s="108"/>
      <x:c r="C1057" s="108"/>
      <x:c r="D1057" s="108"/>
      <x:c r="E1057" s="108"/>
      <x:c r="F1057" s="108"/>
      <x:c r="G1057" s="108"/>
      <x:c r="H1057" s="108"/>
    </x:row>
    <x:row r="1058">
      <x:c r="A1058" s="25" t="str">
        <x:v>Matricule</x:v>
      </x:c>
      <x:c r="B1058" s="25" t="str">
        <x:f>Lot_paie!A35</x:f>
        <x:v>0108J</x:v>
      </x:c>
      <x:c r="C1058" s="25" t="str">
        <x:v>Période</x:v>
      </x:c>
      <x:c r="D1058" s="25" t="str">
        <x:f>Parametres_Paie!$B$26</x:f>
        <x:v>Janvier 2025</x:v>
      </x:c>
      <x:c r="E1058" s="25" t="str">
        <x:v>Paiement</x:v>
      </x:c>
      <x:c r="F1058" s="25" t="n">
        <x:f>Parametres_Paie!$B$25</x:f>
        <x:v>45688</x:v>
      </x:c>
      <x:c r="G1058" s="25" t="str"/>
      <x:c r="H1058" s="25" t="str"/>
    </x:row>
    <x:row r="1059">
      <x:c r="A1059" s="25" t="str">
        <x:v>Nom et prénom</x:v>
      </x:c>
      <x:c r="B1059" s="25" t="str">
        <x:f>Lot_paie!B35&amp;" "&amp;Lot_paie!C35</x:f>
        <x:v>KOUAKOU Theodora Hamoin Anna Henriette</x:v>
      </x:c>
      <x:c r="C1059" s="25" t="str">
        <x:v>Poste</x:v>
      </x:c>
      <x:c r="D1059" s="25" t="str">
        <x:f>Lot_paie!F35</x:f>
        <x:v>Assistante Comptable PASAOS</x:v>
      </x:c>
      <x:c r="E1059" s="25" t="str">
        <x:v>CNPS</x:v>
      </x:c>
      <x:c r="F1059" s="25" t="n">
        <x:f>Lot_paie!J35</x:f>
        <x:v>202400033589</x:v>
      </x:c>
      <x:c r="G1059" s="25" t="str"/>
      <x:c r="H1059" s="25" t="str"/>
    </x:row>
    <x:row r="1060">
      <x:c r="A1060" s="25" t="str">
        <x:v>Direction</x:v>
      </x:c>
      <x:c r="B1060" s="25" t="str">
        <x:f>Lot_paie!D35</x:f>
        <x:v>Direction Administrative et Financière</x:v>
      </x:c>
      <x:c r="C1060" s="25" t="str">
        <x:v>Date entrée</x:v>
      </x:c>
      <x:c r="D1060" s="25" t="n">
        <x:f>Lot_paie!I35</x:f>
        <x:v>45323</x:v>
      </x:c>
      <x:c r="E1060" s="25" t="str">
        <x:v>Ancienneté</x:v>
      </x:c>
      <x:c r="F1060" s="25" t="str">
        <x:f>Lot_paie!V35</x:f>
        <x:v>0 ans (calcul période)</x:v>
      </x:c>
      <x:c r="G1060" s="25" t="str"/>
      <x:c r="H1060" s="25" t="str"/>
    </x:row>
    <x:row r="1061">
      <x:c r="A1061" s="25"/>
      <x:c r="B1061" s="25"/>
      <x:c r="C1061" s="25"/>
      <x:c r="D1061" s="25"/>
      <x:c r="E1061" s="25"/>
      <x:c r="F1061" s="25"/>
      <x:c r="G1061" s="25"/>
      <x:c r="H1061" s="25"/>
    </x:row>
    <x:row r="1062">
      <x:c r="A1062" s="14" t="str">
        <x:v>N°</x:v>
      </x:c>
      <x:c r="B1062" s="14" t="str">
        <x:v>Désignation</x:v>
      </x:c>
      <x:c r="C1062" s="14" t="str">
        <x:v>Nombre</x:v>
      </x:c>
      <x:c r="D1062" s="14" t="str">
        <x:v>Base</x:v>
      </x:c>
      <x:c r="E1062" s="14" t="str">
        <x:v>Taux Sal.</x:v>
      </x:c>
      <x:c r="F1062" s="14" t="str">
        <x:v>Ret. Sal.</x:v>
      </x:c>
      <x:c r="G1062" s="14" t="str">
        <x:v>Taux Pat.</x:v>
      </x:c>
      <x:c r="H1062" s="14" t="str">
        <x:v>Ret. Pat.</x:v>
      </x:c>
    </x:row>
    <x:row r="1063">
      <x:c r="A1063" s="25" t="str">
        <x:v>100</x:v>
      </x:c>
      <x:c r="B1063" s="25" t="str">
        <x:v>Salaire de base</x:v>
      </x:c>
      <x:c r="C1063" s="25" t="str">
        <x:v>30</x:v>
      </x:c>
      <x:c r="D1063" s="64" t="n">
        <x:f>Lot_paie!K35</x:f>
        <x:v>0</x:v>
      </x:c>
      <x:c r="E1063" s="64" t="str"/>
      <x:c r="F1063" s="64" t="str"/>
      <x:c r="G1063" s="64" t="str"/>
      <x:c r="H1063" s="64" t="str"/>
    </x:row>
    <x:row r="1064">
      <x:c r="A1064" s="25" t="str">
        <x:v>110</x:v>
      </x:c>
      <x:c r="B1064" s="25" t="str">
        <x:v>Sursalaire</x:v>
      </x:c>
      <x:c r="C1064" s="25" t="str">
        <x:v>30</x:v>
      </x:c>
      <x:c r="D1064" s="64" t="n">
        <x:f>Lot_paie!L35</x:f>
        <x:v>0</x:v>
      </x:c>
      <x:c r="E1064" s="64" t="str"/>
      <x:c r="F1064" s="64" t="str"/>
      <x:c r="G1064" s="64" t="str"/>
      <x:c r="H1064" s="64" t="str"/>
    </x:row>
    <x:row r="1065">
      <x:c r="A1065" s="25" t="str">
        <x:v>120</x:v>
      </x:c>
      <x:c r="B1065" s="25" t="str">
        <x:v>Prime ancienneté</x:v>
      </x:c>
      <x:c r="C1065" s="25" t="n">
        <x:f>Lot_paie!U35</x:f>
        <x:v>0</x:v>
      </x:c>
      <x:c r="D1065" s="64" t="n">
        <x:f>Lot_paie!X35</x:f>
        <x:v>0</x:v>
      </x:c>
      <x:c r="E1065" s="64" t="str"/>
      <x:c r="F1065" s="64" t="str"/>
      <x:c r="G1065" s="64" t="str"/>
      <x:c r="H1065" s="64" t="str"/>
    </x:row>
    <x:row r="1066">
      <x:c r="A1066" s="25" t="str"/>
      <x:c r="B1066" s="24" t="str">
        <x:v>Total brut imposable</x:v>
      </x:c>
      <x:c r="C1066" s="24" t="str"/>
      <x:c r="D1066" s="76" t="str"/>
      <x:c r="E1066" s="76" t="str"/>
      <x:c r="F1066" s="76" t="n">
        <x:f>Lot_paie!AA35</x:f>
        <x:v>0</x:v>
      </x:c>
      <x:c r="G1066" s="76" t="str"/>
      <x:c r="H1066" s="76" t="str"/>
    </x:row>
    <x:row r="1067">
      <x:c r="A1067" s="25" t="str">
        <x:v>810</x:v>
      </x:c>
      <x:c r="B1067" s="25" t="str">
        <x:v>C.N.P.S.</x:v>
      </x:c>
      <x:c r="C1067" s="25" t="str"/>
      <x:c r="D1067" s="64" t="n">
        <x:f>Lot_paie!AB35</x:f>
        <x:v>0</x:v>
      </x:c>
      <x:c r="E1067" s="66" t="n">
        <x:f>Parametres_Paie!$B$4</x:f>
        <x:v>0.063</x:v>
      </x:c>
      <x:c r="F1067" s="64" t="n">
        <x:f>Lot_paie!AC35</x:f>
        <x:v>0</x:v>
      </x:c>
      <x:c r="G1067" s="66" t="n">
        <x:f>Parametres_Paie!$B$5</x:f>
        <x:v>0.077</x:v>
      </x:c>
      <x:c r="H1067" s="64" t="n">
        <x:f>Lot_paie!AH35</x:f>
        <x:v>0</x:v>
      </x:c>
    </x:row>
    <x:row r="1068">
      <x:c r="A1068" s="25" t="str">
        <x:v>815</x:v>
      </x:c>
      <x:c r="B1068" s="25" t="str">
        <x:v>Retenue CMU employé</x:v>
      </x:c>
      <x:c r="C1068" s="25" t="str"/>
      <x:c r="D1068" s="64" t="n">
        <x:f>Lot_paie!AD35</x:f>
        <x:v>0</x:v>
      </x:c>
      <x:c r="E1068" s="64" t="str"/>
      <x:c r="F1068" s="64" t="n">
        <x:f>Lot_paie!AD35</x:f>
        <x:v>0</x:v>
      </x:c>
      <x:c r="G1068" s="66" t="str"/>
      <x:c r="H1068" s="64" t="n">
        <x:f>Lot_paie!AL35</x:f>
        <x:v>0</x:v>
      </x:c>
    </x:row>
    <x:row r="1069">
      <x:c r="A1069" s="25" t="str">
        <x:v>860</x:v>
      </x:c>
      <x:c r="B1069" s="25" t="str">
        <x:v>I.T.S</x:v>
      </x:c>
      <x:c r="C1069" s="25" t="str"/>
      <x:c r="D1069" s="64" t="n">
        <x:f>Lot_paie!AA35</x:f>
        <x:v>0</x:v>
      </x:c>
      <x:c r="E1069" s="64" t="str"/>
      <x:c r="F1069" s="64" t="n">
        <x:f>Lot_paie!AF35</x:f>
        <x:v>0</x:v>
      </x:c>
      <x:c r="G1069" s="66" t="str"/>
      <x:c r="H1069" s="64" t="str"/>
    </x:row>
    <x:row r="1070">
      <x:c r="A1070" s="25" t="str">
        <x:v>912</x:v>
      </x:c>
      <x:c r="B1070" s="25" t="str">
        <x:v>Prestation Familiale</x:v>
      </x:c>
      <x:c r="C1070" s="25" t="str"/>
      <x:c r="D1070" s="64" t="n">
        <x:f>Parametres_Paie!$B$7</x:f>
        <x:v>75000</x:v>
      </x:c>
      <x:c r="E1070" s="64" t="str"/>
      <x:c r="F1070" s="64" t="str"/>
      <x:c r="G1070" s="66" t="n">
        <x:f>Parametres_Paie!$B$8</x:f>
        <x:v>0.05</x:v>
      </x:c>
      <x:c r="H1070" s="64" t="n">
        <x:f>Lot_paie!AI35</x:f>
        <x:v>0</x:v>
      </x:c>
    </x:row>
    <x:row r="1071">
      <x:c r="A1071" s="25" t="str">
        <x:v>913</x:v>
      </x:c>
      <x:c r="B1071" s="25" t="str">
        <x:v>Accident de Travail</x:v>
      </x:c>
      <x:c r="C1071" s="25" t="str"/>
      <x:c r="D1071" s="64" t="n">
        <x:f>Parametres_Paie!$B$7</x:f>
        <x:v>75000</x:v>
      </x:c>
      <x:c r="E1071" s="64" t="str"/>
      <x:c r="F1071" s="64" t="str"/>
      <x:c r="G1071" s="66" t="n">
        <x:f>Lot_paie!T35</x:f>
        <x:v>0.02</x:v>
      </x:c>
      <x:c r="H1071" s="64" t="n">
        <x:f>Lot_paie!AJ35</x:f>
        <x:v>0</x:v>
      </x:c>
    </x:row>
    <x:row r="1072">
      <x:c r="A1072" s="25" t="str">
        <x:v>914</x:v>
      </x:c>
      <x:c r="B1072" s="25" t="str">
        <x:v>Assurance Maternité</x:v>
      </x:c>
      <x:c r="C1072" s="25" t="str"/>
      <x:c r="D1072" s="64" t="n">
        <x:f>Parametres_Paie!$B$7</x:f>
        <x:v>75000</x:v>
      </x:c>
      <x:c r="E1072" s="64" t="str"/>
      <x:c r="F1072" s="64" t="str"/>
      <x:c r="G1072" s="66" t="n">
        <x:f>Parametres_Paie!$B$9</x:f>
        <x:v>0.0075</x:v>
      </x:c>
      <x:c r="H1072" s="64" t="n">
        <x:f>Lot_paie!AK35</x:f>
        <x:v>0</x:v>
      </x:c>
    </x:row>
    <x:row r="1073">
      <x:c r="A1073" s="25" t="str">
        <x:v>924</x:v>
      </x:c>
      <x:c r="B1073" s="25" t="str">
        <x:v>I.S. Employeur Local</x:v>
      </x:c>
      <x:c r="C1073" s="25" t="str"/>
      <x:c r="D1073" s="64" t="n">
        <x:f>Lot_paie!AA35</x:f>
        <x:v>0</x:v>
      </x:c>
      <x:c r="E1073" s="64" t="str"/>
      <x:c r="F1073" s="64" t="str"/>
      <x:c r="G1073" s="66" t="n">
        <x:f>Parametres_Paie!$B$15</x:f>
        <x:v>0.012</x:v>
      </x:c>
      <x:c r="H1073" s="64" t="n">
        <x:f>Lot_paie!AM35</x:f>
        <x:v>0</x:v>
      </x:c>
    </x:row>
    <x:row r="1074">
      <x:c r="A1074" s="25" t="str">
        <x:v>930</x:v>
      </x:c>
      <x:c r="B1074" s="25" t="str">
        <x:v>Taxe d’Apprentissage</x:v>
      </x:c>
      <x:c r="C1074" s="25" t="str"/>
      <x:c r="D1074" s="64" t="n">
        <x:f>Lot_paie!AA35</x:f>
        <x:v>0</x:v>
      </x:c>
      <x:c r="E1074" s="64" t="str"/>
      <x:c r="F1074" s="64" t="str"/>
      <x:c r="G1074" s="66" t="n">
        <x:f>Parametres_Paie!$B$16</x:f>
        <x:v>0.004</x:v>
      </x:c>
      <x:c r="H1074" s="64" t="n">
        <x:f>Lot_paie!AN35</x:f>
        <x:v>0</x:v>
      </x:c>
    </x:row>
    <x:row r="1075">
      <x:c r="A1075" s="25" t="str">
        <x:v>931</x:v>
      </x:c>
      <x:c r="B1075" s="25" t="str">
        <x:v>Taxe Formation Professionnelle Continue</x:v>
      </x:c>
      <x:c r="C1075" s="25" t="str"/>
      <x:c r="D1075" s="64" t="n">
        <x:f>Lot_paie!AA35</x:f>
        <x:v>0</x:v>
      </x:c>
      <x:c r="E1075" s="64" t="str"/>
      <x:c r="F1075" s="64" t="str"/>
      <x:c r="G1075" s="66" t="n">
        <x:f>Parametres_Paie!$B$17</x:f>
        <x:v>0.006</x:v>
      </x:c>
      <x:c r="H1075" s="64" t="n">
        <x:f>Lot_paie!AO35</x:f>
        <x:v>0</x:v>
      </x:c>
    </x:row>
    <x:row r="1076">
      <x:c r="A1076" s="25" t="str">
        <x:v>932</x:v>
      </x:c>
      <x:c r="B1076" s="25" t="str">
        <x:v>Taxe FPC Fin d’année</x:v>
      </x:c>
      <x:c r="C1076" s="25" t="str"/>
      <x:c r="D1076" s="64" t="n">
        <x:f>Lot_paie!AA35</x:f>
        <x:v>0</x:v>
      </x:c>
      <x:c r="E1076" s="64" t="str"/>
      <x:c r="F1076" s="64" t="str"/>
      <x:c r="G1076" s="66" t="n">
        <x:f>Parametres_Paie!$B$18</x:f>
        <x:v>0.006</x:v>
      </x:c>
      <x:c r="H1076" s="64" t="n">
        <x:f>Lot_paie!AP35</x:f>
        <x:v>0</x:v>
      </x:c>
    </x:row>
    <x:row r="1077">
      <x:c r="A1077" s="25" t="str"/>
      <x:c r="B1077" s="83" t="str">
        <x:v>Total retenues fiscales et sociales</x:v>
      </x:c>
      <x:c r="C1077" s="83" t="str"/>
      <x:c r="D1077" s="84" t="str"/>
      <x:c r="E1077" s="84" t="str"/>
      <x:c r="F1077" s="84" t="n">
        <x:f>Lot_paie!AG35</x:f>
        <x:v>0</x:v>
      </x:c>
      <x:c r="G1077" s="85" t="str"/>
      <x:c r="H1077" s="84" t="n">
        <x:f>Lot_paie!AQ35</x:f>
        <x:v>0</x:v>
      </x:c>
    </x:row>
    <x:row r="1078">
      <x:c r="A1078" s="25" t="str">
        <x:v>204</x:v>
      </x:c>
      <x:c r="B1078" s="25" t="str">
        <x:v>Indemnité Transport N. Imposable</x:v>
      </x:c>
      <x:c r="C1078" s="25" t="str">
        <x:v>30</x:v>
      </x:c>
      <x:c r="D1078" s="64" t="n">
        <x:f>Lot_paie!Y35</x:f>
        <x:v>0</x:v>
      </x:c>
      <x:c r="E1078" s="64" t="str"/>
      <x:c r="F1078" s="64" t="n">
        <x:f>Lot_paie!Y35</x:f>
        <x:v>0</x:v>
      </x:c>
      <x:c r="G1078" s="66" t="str"/>
      <x:c r="H1078" s="64" t="str"/>
    </x:row>
    <x:row r="1079">
      <x:c r="A1079" s="25" t="str"/>
      <x:c r="B1079" s="25" t="str">
        <x:v>Total gains non imposables</x:v>
      </x:c>
      <x:c r="C1079" s="25" t="str"/>
      <x:c r="D1079" s="64" t="str"/>
      <x:c r="E1079" s="64" t="str"/>
      <x:c r="F1079" s="64" t="n">
        <x:f>Lot_paie!AR35</x:f>
        <x:v>0</x:v>
      </x:c>
      <x:c r="G1079" s="66" t="str"/>
      <x:c r="H1079" s="64" t="str"/>
    </x:row>
    <x:row r="1080">
      <x:c r="A1080" s="25" t="str"/>
      <x:c r="B1080" s="110" t="str">
        <x:v>NET À PAYER</x:v>
      </x:c>
      <x:c r="C1080" s="110" t="str"/>
      <x:c r="D1080" s="111" t="str"/>
      <x:c r="E1080" s="111" t="str"/>
      <x:c r="F1080" s="111" t="str"/>
      <x:c r="G1080" s="112" t="str"/>
      <x:c r="H1080" s="111" t="n">
        <x:f>Lot_paie!AT35</x:f>
        <x:v>0</x:v>
      </x:c>
    </x:row>
    <x:row r="1081">
      <x:c r="A1081" s="25"/>
      <x:c r="B1081" s="25"/>
      <x:c r="C1081" s="25"/>
      <x:c r="D1081" s="25"/>
      <x:c r="E1081" s="25"/>
      <x:c r="F1081" s="25"/>
      <x:c r="G1081" s="25"/>
      <x:c r="H1081" s="25"/>
    </x:row>
    <x:row r="1082">
      <x:c r="A1082" s="25"/>
      <x:c r="B1082" s="25"/>
      <x:c r="C1082" s="25"/>
      <x:c r="D1082" s="25"/>
      <x:c r="E1082" s="25"/>
      <x:c r="F1082" s="25"/>
      <x:c r="G1082" s="25"/>
      <x:c r="H1082" s="25"/>
    </x:row>
    <x:row r="1083">
      <x:c r="A1083" s="25"/>
      <x:c r="B1083" s="25"/>
      <x:c r="C1083" s="25"/>
      <x:c r="D1083" s="25"/>
      <x:c r="E1083" s="25"/>
      <x:c r="F1083" s="25"/>
      <x:c r="G1083" s="25"/>
      <x:c r="H1083" s="25"/>
    </x:row>
    <x:row r="1084">
      <x:c r="A1084" s="25"/>
      <x:c r="B1084" s="25"/>
      <x:c r="C1084" s="25"/>
      <x:c r="D1084" s="25"/>
      <x:c r="E1084" s="25"/>
      <x:c r="F1084" s="25"/>
      <x:c r="G1084" s="25"/>
      <x:c r="H1084" s="25"/>
    </x:row>
    <x:row r="1085">
      <x:c r="A1085" s="25"/>
      <x:c r="B1085" s="25"/>
      <x:c r="C1085" s="25"/>
      <x:c r="D1085" s="25"/>
      <x:c r="E1085" s="25"/>
      <x:c r="F1085" s="25"/>
      <x:c r="G1085" s="25"/>
      <x:c r="H1085" s="25"/>
    </x:row>
    <x:row r="1086">
      <x:c r="A1086" s="25"/>
      <x:c r="B1086" s="25"/>
      <x:c r="C1086" s="25"/>
      <x:c r="D1086" s="25"/>
      <x:c r="E1086" s="25"/>
      <x:c r="F1086" s="25"/>
      <x:c r="G1086" s="25"/>
      <x:c r="H1086" s="25"/>
    </x:row>
    <x:row r="1087">
      <x:c r="A1087" s="25"/>
      <x:c r="B1087" s="25"/>
      <x:c r="C1087" s="25"/>
      <x:c r="D1087" s="25"/>
      <x:c r="E1087" s="25"/>
      <x:c r="F1087" s="25"/>
      <x:c r="G1087" s="25"/>
      <x:c r="H1087" s="25"/>
    </x:row>
    <x:row r="1089">
      <x:c r="A1089" s="108" t="str">
        <x:v>BULLETIN DE PAIE – AAEA / AfWASA</x:v>
      </x:c>
      <x:c r="B1089" s="108"/>
      <x:c r="C1089" s="108"/>
      <x:c r="D1089" s="108"/>
      <x:c r="E1089" s="108"/>
      <x:c r="F1089" s="108"/>
      <x:c r="G1089" s="108"/>
      <x:c r="H1089" s="108"/>
    </x:row>
    <x:row r="1090">
      <x:c r="A1090" s="25" t="str">
        <x:v>Matricule</x:v>
      </x:c>
      <x:c r="B1090" s="25" t="str">
        <x:f>Lot_paie!A36</x:f>
        <x:v>0111A</x:v>
      </x:c>
      <x:c r="C1090" s="25" t="str">
        <x:v>Période</x:v>
      </x:c>
      <x:c r="D1090" s="25" t="str">
        <x:f>Parametres_Paie!$B$26</x:f>
        <x:v>Janvier 2025</x:v>
      </x:c>
      <x:c r="E1090" s="25" t="str">
        <x:v>Paiement</x:v>
      </x:c>
      <x:c r="F1090" s="25" t="n">
        <x:f>Parametres_Paie!$B$25</x:f>
        <x:v>45688</x:v>
      </x:c>
      <x:c r="G1090" s="25" t="str"/>
      <x:c r="H1090" s="25" t="str"/>
    </x:row>
    <x:row r="1091">
      <x:c r="A1091" s="25" t="str">
        <x:v>Nom et prénom</x:v>
      </x:c>
      <x:c r="B1091" s="25" t="str">
        <x:f>Lot_paie!B36&amp;" "&amp;Lot_paie!C36</x:f>
        <x:v>GOSSO François Olivier</x:v>
      </x:c>
      <x:c r="C1091" s="25" t="str">
        <x:v>Poste</x:v>
      </x:c>
      <x:c r="D1091" s="25" t="str">
        <x:f>Lot_paie!F36</x:f>
        <x:v>Directeur Exécutif</x:v>
      </x:c>
      <x:c r="E1091" s="25" t="str">
        <x:v>CNPS</x:v>
      </x:c>
      <x:c r="F1091" s="25" t="n">
        <x:f>Lot_paie!J36</x:f>
        <x:v>167019216419</x:v>
      </x:c>
      <x:c r="G1091" s="25" t="str"/>
      <x:c r="H1091" s="25" t="str"/>
    </x:row>
    <x:row r="1092">
      <x:c r="A1092" s="25" t="str">
        <x:v>Direction</x:v>
      </x:c>
      <x:c r="B1092" s="25" t="str">
        <x:f>Lot_paie!D36</x:f>
        <x:v>Cabinet de la Direction Exécutive</x:v>
      </x:c>
      <x:c r="C1092" s="25" t="str">
        <x:v>Date entrée</x:v>
      </x:c>
      <x:c r="D1092" s="25" t="n">
        <x:f>Lot_paie!I36</x:f>
        <x:v>45292</x:v>
      </x:c>
      <x:c r="E1092" s="25" t="str">
        <x:v>Ancienneté</x:v>
      </x:c>
      <x:c r="F1092" s="25" t="str">
        <x:f>Lot_paie!V36</x:f>
        <x:v>1 ans (calcul période)</x:v>
      </x:c>
      <x:c r="G1092" s="25" t="str"/>
      <x:c r="H1092" s="25" t="str"/>
    </x:row>
    <x:row r="1093">
      <x:c r="A1093" s="25"/>
      <x:c r="B1093" s="25"/>
      <x:c r="C1093" s="25"/>
      <x:c r="D1093" s="25"/>
      <x:c r="E1093" s="25"/>
      <x:c r="F1093" s="25"/>
      <x:c r="G1093" s="25"/>
      <x:c r="H1093" s="25"/>
    </x:row>
    <x:row r="1094">
      <x:c r="A1094" s="14" t="str">
        <x:v>N°</x:v>
      </x:c>
      <x:c r="B1094" s="14" t="str">
        <x:v>Désignation</x:v>
      </x:c>
      <x:c r="C1094" s="14" t="str">
        <x:v>Nombre</x:v>
      </x:c>
      <x:c r="D1094" s="14" t="str">
        <x:v>Base</x:v>
      </x:c>
      <x:c r="E1094" s="14" t="str">
        <x:v>Taux Sal.</x:v>
      </x:c>
      <x:c r="F1094" s="14" t="str">
        <x:v>Ret. Sal.</x:v>
      </x:c>
      <x:c r="G1094" s="14" t="str">
        <x:v>Taux Pat.</x:v>
      </x:c>
      <x:c r="H1094" s="14" t="str">
        <x:v>Ret. Pat.</x:v>
      </x:c>
    </x:row>
    <x:row r="1095">
      <x:c r="A1095" s="25" t="str">
        <x:v>100</x:v>
      </x:c>
      <x:c r="B1095" s="25" t="str">
        <x:v>Salaire de base</x:v>
      </x:c>
      <x:c r="C1095" s="25" t="str">
        <x:v>30</x:v>
      </x:c>
      <x:c r="D1095" s="64" t="n">
        <x:f>Lot_paie!K36</x:f>
        <x:v>0</x:v>
      </x:c>
      <x:c r="E1095" s="64" t="str"/>
      <x:c r="F1095" s="64" t="str"/>
      <x:c r="G1095" s="64" t="str"/>
      <x:c r="H1095" s="64" t="str"/>
    </x:row>
    <x:row r="1096">
      <x:c r="A1096" s="25" t="str">
        <x:v>110</x:v>
      </x:c>
      <x:c r="B1096" s="25" t="str">
        <x:v>Sursalaire</x:v>
      </x:c>
      <x:c r="C1096" s="25" t="str">
        <x:v>30</x:v>
      </x:c>
      <x:c r="D1096" s="64" t="n">
        <x:f>Lot_paie!L36</x:f>
        <x:v>0</x:v>
      </x:c>
      <x:c r="E1096" s="64" t="str"/>
      <x:c r="F1096" s="64" t="str"/>
      <x:c r="G1096" s="64" t="str"/>
      <x:c r="H1096" s="64" t="str"/>
    </x:row>
    <x:row r="1097">
      <x:c r="A1097" s="25" t="str">
        <x:v>120</x:v>
      </x:c>
      <x:c r="B1097" s="25" t="str">
        <x:v>Prime ancienneté</x:v>
      </x:c>
      <x:c r="C1097" s="25" t="n">
        <x:f>Lot_paie!U36</x:f>
        <x:v>1</x:v>
      </x:c>
      <x:c r="D1097" s="64" t="n">
        <x:f>Lot_paie!X36</x:f>
        <x:v>0</x:v>
      </x:c>
      <x:c r="E1097" s="64" t="str"/>
      <x:c r="F1097" s="64" t="str"/>
      <x:c r="G1097" s="64" t="str"/>
      <x:c r="H1097" s="64" t="str"/>
    </x:row>
    <x:row r="1098">
      <x:c r="A1098" s="25" t="str"/>
      <x:c r="B1098" s="24" t="str">
        <x:v>Total brut imposable</x:v>
      </x:c>
      <x:c r="C1098" s="24" t="str"/>
      <x:c r="D1098" s="76" t="str"/>
      <x:c r="E1098" s="76" t="str"/>
      <x:c r="F1098" s="76" t="n">
        <x:f>Lot_paie!AA36</x:f>
        <x:v>0</x:v>
      </x:c>
      <x:c r="G1098" s="76" t="str"/>
      <x:c r="H1098" s="76" t="str"/>
    </x:row>
    <x:row r="1099">
      <x:c r="A1099" s="25" t="str">
        <x:v>810</x:v>
      </x:c>
      <x:c r="B1099" s="25" t="str">
        <x:v>C.N.P.S.</x:v>
      </x:c>
      <x:c r="C1099" s="25" t="str"/>
      <x:c r="D1099" s="64" t="n">
        <x:f>Lot_paie!AB36</x:f>
        <x:v>0</x:v>
      </x:c>
      <x:c r="E1099" s="66" t="n">
        <x:f>Parametres_Paie!$B$4</x:f>
        <x:v>0.063</x:v>
      </x:c>
      <x:c r="F1099" s="64" t="n">
        <x:f>Lot_paie!AC36</x:f>
        <x:v>0</x:v>
      </x:c>
      <x:c r="G1099" s="66" t="n">
        <x:f>Parametres_Paie!$B$5</x:f>
        <x:v>0.077</x:v>
      </x:c>
      <x:c r="H1099" s="64" t="n">
        <x:f>Lot_paie!AH36</x:f>
        <x:v>0</x:v>
      </x:c>
    </x:row>
    <x:row r="1100">
      <x:c r="A1100" s="25" t="str">
        <x:v>815</x:v>
      </x:c>
      <x:c r="B1100" s="25" t="str">
        <x:v>Retenue CMU employé</x:v>
      </x:c>
      <x:c r="C1100" s="25" t="str"/>
      <x:c r="D1100" s="64" t="n">
        <x:f>Lot_paie!AD36</x:f>
        <x:v>0</x:v>
      </x:c>
      <x:c r="E1100" s="64" t="str"/>
      <x:c r="F1100" s="64" t="n">
        <x:f>Lot_paie!AD36</x:f>
        <x:v>0</x:v>
      </x:c>
      <x:c r="G1100" s="66" t="str"/>
      <x:c r="H1100" s="64" t="n">
        <x:f>Lot_paie!AL36</x:f>
        <x:v>0</x:v>
      </x:c>
    </x:row>
    <x:row r="1101">
      <x:c r="A1101" s="25" t="str">
        <x:v>860</x:v>
      </x:c>
      <x:c r="B1101" s="25" t="str">
        <x:v>I.T.S</x:v>
      </x:c>
      <x:c r="C1101" s="25" t="str"/>
      <x:c r="D1101" s="64" t="n">
        <x:f>Lot_paie!AA36</x:f>
        <x:v>0</x:v>
      </x:c>
      <x:c r="E1101" s="64" t="str"/>
      <x:c r="F1101" s="64" t="n">
        <x:f>Lot_paie!AF36</x:f>
        <x:v>0</x:v>
      </x:c>
      <x:c r="G1101" s="66" t="str"/>
      <x:c r="H1101" s="64" t="str"/>
    </x:row>
    <x:row r="1102">
      <x:c r="A1102" s="25" t="str">
        <x:v>912</x:v>
      </x:c>
      <x:c r="B1102" s="25" t="str">
        <x:v>Prestation Familiale</x:v>
      </x:c>
      <x:c r="C1102" s="25" t="str"/>
      <x:c r="D1102" s="64" t="n">
        <x:f>Parametres_Paie!$B$7</x:f>
        <x:v>75000</x:v>
      </x:c>
      <x:c r="E1102" s="64" t="str"/>
      <x:c r="F1102" s="64" t="str"/>
      <x:c r="G1102" s="66" t="n">
        <x:f>Parametres_Paie!$B$8</x:f>
        <x:v>0.05</x:v>
      </x:c>
      <x:c r="H1102" s="64" t="n">
        <x:f>Lot_paie!AI36</x:f>
        <x:v>0</x:v>
      </x:c>
    </x:row>
    <x:row r="1103">
      <x:c r="A1103" s="25" t="str">
        <x:v>913</x:v>
      </x:c>
      <x:c r="B1103" s="25" t="str">
        <x:v>Accident de Travail</x:v>
      </x:c>
      <x:c r="C1103" s="25" t="str"/>
      <x:c r="D1103" s="64" t="n">
        <x:f>Parametres_Paie!$B$7</x:f>
        <x:v>75000</x:v>
      </x:c>
      <x:c r="E1103" s="64" t="str"/>
      <x:c r="F1103" s="64" t="str"/>
      <x:c r="G1103" s="66" t="n">
        <x:f>Lot_paie!T36</x:f>
        <x:v>0.02</x:v>
      </x:c>
      <x:c r="H1103" s="64" t="n">
        <x:f>Lot_paie!AJ36</x:f>
        <x:v>0</x:v>
      </x:c>
    </x:row>
    <x:row r="1104">
      <x:c r="A1104" s="25" t="str">
        <x:v>914</x:v>
      </x:c>
      <x:c r="B1104" s="25" t="str">
        <x:v>Assurance Maternité</x:v>
      </x:c>
      <x:c r="C1104" s="25" t="str"/>
      <x:c r="D1104" s="64" t="n">
        <x:f>Parametres_Paie!$B$7</x:f>
        <x:v>75000</x:v>
      </x:c>
      <x:c r="E1104" s="64" t="str"/>
      <x:c r="F1104" s="64" t="str"/>
      <x:c r="G1104" s="66" t="n">
        <x:f>Parametres_Paie!$B$9</x:f>
        <x:v>0.0075</x:v>
      </x:c>
      <x:c r="H1104" s="64" t="n">
        <x:f>Lot_paie!AK36</x:f>
        <x:v>0</x:v>
      </x:c>
    </x:row>
    <x:row r="1105">
      <x:c r="A1105" s="25" t="str">
        <x:v>924</x:v>
      </x:c>
      <x:c r="B1105" s="25" t="str">
        <x:v>I.S. Employeur Local</x:v>
      </x:c>
      <x:c r="C1105" s="25" t="str"/>
      <x:c r="D1105" s="64" t="n">
        <x:f>Lot_paie!AA36</x:f>
        <x:v>0</x:v>
      </x:c>
      <x:c r="E1105" s="64" t="str"/>
      <x:c r="F1105" s="64" t="str"/>
      <x:c r="G1105" s="66" t="n">
        <x:f>Parametres_Paie!$B$15</x:f>
        <x:v>0.012</x:v>
      </x:c>
      <x:c r="H1105" s="64" t="n">
        <x:f>Lot_paie!AM36</x:f>
        <x:v>0</x:v>
      </x:c>
    </x:row>
    <x:row r="1106">
      <x:c r="A1106" s="25" t="str">
        <x:v>930</x:v>
      </x:c>
      <x:c r="B1106" s="25" t="str">
        <x:v>Taxe d’Apprentissage</x:v>
      </x:c>
      <x:c r="C1106" s="25" t="str"/>
      <x:c r="D1106" s="64" t="n">
        <x:f>Lot_paie!AA36</x:f>
        <x:v>0</x:v>
      </x:c>
      <x:c r="E1106" s="64" t="str"/>
      <x:c r="F1106" s="64" t="str"/>
      <x:c r="G1106" s="66" t="n">
        <x:f>Parametres_Paie!$B$16</x:f>
        <x:v>0.004</x:v>
      </x:c>
      <x:c r="H1106" s="64" t="n">
        <x:f>Lot_paie!AN36</x:f>
        <x:v>0</x:v>
      </x:c>
    </x:row>
    <x:row r="1107">
      <x:c r="A1107" s="25" t="str">
        <x:v>931</x:v>
      </x:c>
      <x:c r="B1107" s="25" t="str">
        <x:v>Taxe Formation Professionnelle Continue</x:v>
      </x:c>
      <x:c r="C1107" s="25" t="str"/>
      <x:c r="D1107" s="64" t="n">
        <x:f>Lot_paie!AA36</x:f>
        <x:v>0</x:v>
      </x:c>
      <x:c r="E1107" s="64" t="str"/>
      <x:c r="F1107" s="64" t="str"/>
      <x:c r="G1107" s="66" t="n">
        <x:f>Parametres_Paie!$B$17</x:f>
        <x:v>0.006</x:v>
      </x:c>
      <x:c r="H1107" s="64" t="n">
        <x:f>Lot_paie!AO36</x:f>
        <x:v>0</x:v>
      </x:c>
    </x:row>
    <x:row r="1108">
      <x:c r="A1108" s="25" t="str">
        <x:v>932</x:v>
      </x:c>
      <x:c r="B1108" s="25" t="str">
        <x:v>Taxe FPC Fin d’année</x:v>
      </x:c>
      <x:c r="C1108" s="25" t="str"/>
      <x:c r="D1108" s="64" t="n">
        <x:f>Lot_paie!AA36</x:f>
        <x:v>0</x:v>
      </x:c>
      <x:c r="E1108" s="64" t="str"/>
      <x:c r="F1108" s="64" t="str"/>
      <x:c r="G1108" s="66" t="n">
        <x:f>Parametres_Paie!$B$18</x:f>
        <x:v>0.006</x:v>
      </x:c>
      <x:c r="H1108" s="64" t="n">
        <x:f>Lot_paie!AP36</x:f>
        <x:v>0</x:v>
      </x:c>
    </x:row>
    <x:row r="1109">
      <x:c r="A1109" s="25" t="str"/>
      <x:c r="B1109" s="83" t="str">
        <x:v>Total retenues fiscales et sociales</x:v>
      </x:c>
      <x:c r="C1109" s="83" t="str"/>
      <x:c r="D1109" s="84" t="str"/>
      <x:c r="E1109" s="84" t="str"/>
      <x:c r="F1109" s="84" t="n">
        <x:f>Lot_paie!AG36</x:f>
        <x:v>0</x:v>
      </x:c>
      <x:c r="G1109" s="85" t="str"/>
      <x:c r="H1109" s="84" t="n">
        <x:f>Lot_paie!AQ36</x:f>
        <x:v>0</x:v>
      </x:c>
    </x:row>
    <x:row r="1110">
      <x:c r="A1110" s="25" t="str">
        <x:v>204</x:v>
      </x:c>
      <x:c r="B1110" s="25" t="str">
        <x:v>Indemnité Transport N. Imposable</x:v>
      </x:c>
      <x:c r="C1110" s="25" t="str">
        <x:v>30</x:v>
      </x:c>
      <x:c r="D1110" s="64" t="n">
        <x:f>Lot_paie!Y36</x:f>
        <x:v>0</x:v>
      </x:c>
      <x:c r="E1110" s="64" t="str"/>
      <x:c r="F1110" s="64" t="n">
        <x:f>Lot_paie!Y36</x:f>
        <x:v>0</x:v>
      </x:c>
      <x:c r="G1110" s="66" t="str"/>
      <x:c r="H1110" s="64" t="str"/>
    </x:row>
    <x:row r="1111">
      <x:c r="A1111" s="25" t="str"/>
      <x:c r="B1111" s="25" t="str">
        <x:v>Total gains non imposables</x:v>
      </x:c>
      <x:c r="C1111" s="25" t="str"/>
      <x:c r="D1111" s="64" t="str"/>
      <x:c r="E1111" s="64" t="str"/>
      <x:c r="F1111" s="64" t="n">
        <x:f>Lot_paie!AR36</x:f>
        <x:v>0</x:v>
      </x:c>
      <x:c r="G1111" s="66" t="str"/>
      <x:c r="H1111" s="64" t="str"/>
    </x:row>
    <x:row r="1112">
      <x:c r="A1112" s="25" t="str"/>
      <x:c r="B1112" s="110" t="str">
        <x:v>NET À PAYER</x:v>
      </x:c>
      <x:c r="C1112" s="110" t="str"/>
      <x:c r="D1112" s="111" t="str"/>
      <x:c r="E1112" s="111" t="str"/>
      <x:c r="F1112" s="111" t="str"/>
      <x:c r="G1112" s="112" t="str"/>
      <x:c r="H1112" s="111" t="n">
        <x:f>Lot_paie!AT36</x:f>
        <x:v>0</x:v>
      </x:c>
    </x:row>
    <x:row r="1113">
      <x:c r="A1113" s="25"/>
      <x:c r="B1113" s="25"/>
      <x:c r="C1113" s="25"/>
      <x:c r="D1113" s="25"/>
      <x:c r="E1113" s="25"/>
      <x:c r="F1113" s="25"/>
      <x:c r="G1113" s="25"/>
      <x:c r="H1113" s="25"/>
    </x:row>
    <x:row r="1114">
      <x:c r="A1114" s="25"/>
      <x:c r="B1114" s="25"/>
      <x:c r="C1114" s="25"/>
      <x:c r="D1114" s="25"/>
      <x:c r="E1114" s="25"/>
      <x:c r="F1114" s="25"/>
      <x:c r="G1114" s="25"/>
      <x:c r="H1114" s="25"/>
    </x:row>
    <x:row r="1115">
      <x:c r="A1115" s="25"/>
      <x:c r="B1115" s="25"/>
      <x:c r="C1115" s="25"/>
      <x:c r="D1115" s="25"/>
      <x:c r="E1115" s="25"/>
      <x:c r="F1115" s="25"/>
      <x:c r="G1115" s="25"/>
      <x:c r="H1115" s="25"/>
    </x:row>
    <x:row r="1116">
      <x:c r="A1116" s="25"/>
      <x:c r="B1116" s="25"/>
      <x:c r="C1116" s="25"/>
      <x:c r="D1116" s="25"/>
      <x:c r="E1116" s="25"/>
      <x:c r="F1116" s="25"/>
      <x:c r="G1116" s="25"/>
      <x:c r="H1116" s="25"/>
    </x:row>
    <x:row r="1117">
      <x:c r="A1117" s="25"/>
      <x:c r="B1117" s="25"/>
      <x:c r="C1117" s="25"/>
      <x:c r="D1117" s="25"/>
      <x:c r="E1117" s="25"/>
      <x:c r="F1117" s="25"/>
      <x:c r="G1117" s="25"/>
      <x:c r="H1117" s="25"/>
    </x:row>
    <x:row r="1118">
      <x:c r="A1118" s="25"/>
      <x:c r="B1118" s="25"/>
      <x:c r="C1118" s="25"/>
      <x:c r="D1118" s="25"/>
      <x:c r="E1118" s="25"/>
      <x:c r="F1118" s="25"/>
      <x:c r="G1118" s="25"/>
      <x:c r="H1118" s="25"/>
    </x:row>
    <x:row r="1119">
      <x:c r="A1119" s="25"/>
      <x:c r="B1119" s="25"/>
      <x:c r="C1119" s="25"/>
      <x:c r="D1119" s="25"/>
      <x:c r="E1119" s="25"/>
      <x:c r="F1119" s="25"/>
      <x:c r="G1119" s="25"/>
      <x:c r="H1119" s="25"/>
    </x:row>
  </x:sheetData>
  <x:mergeCells>
    <x:mergeCell ref="A1:H1"/>
    <x:mergeCell ref="A33:H33"/>
    <x:mergeCell ref="A65:H65"/>
    <x:mergeCell ref="A97:H97"/>
    <x:mergeCell ref="A129:H129"/>
    <x:mergeCell ref="A161:H161"/>
    <x:mergeCell ref="A193:H193"/>
    <x:mergeCell ref="A225:H225"/>
    <x:mergeCell ref="A257:H257"/>
    <x:mergeCell ref="A289:H289"/>
    <x:mergeCell ref="A321:H321"/>
    <x:mergeCell ref="A353:H353"/>
    <x:mergeCell ref="A385:H385"/>
    <x:mergeCell ref="A417:H417"/>
    <x:mergeCell ref="A449:H449"/>
    <x:mergeCell ref="A481:H481"/>
    <x:mergeCell ref="A513:H513"/>
    <x:mergeCell ref="A545:H545"/>
    <x:mergeCell ref="A577:H577"/>
    <x:mergeCell ref="A609:H609"/>
    <x:mergeCell ref="A641:H641"/>
    <x:mergeCell ref="A673:H673"/>
    <x:mergeCell ref="A705:H705"/>
    <x:mergeCell ref="A737:H737"/>
    <x:mergeCell ref="A769:H769"/>
    <x:mergeCell ref="A801:H801"/>
    <x:mergeCell ref="A833:H833"/>
    <x:mergeCell ref="A865:H865"/>
    <x:mergeCell ref="A897:H897"/>
    <x:mergeCell ref="A929:H929"/>
    <x:mergeCell ref="A961:H961"/>
    <x:mergeCell ref="A993:H993"/>
    <x:mergeCell ref="A1025:H1025"/>
    <x:mergeCell ref="A1057:H1057"/>
    <x:mergeCell ref="A1089:H108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0" customHeight="1">
      <x:c r="A1" s="117" t="str">
        <x:v>TABLEAU DE BORD RH &amp; PAIE – AAEA / AfWASA</x:v>
      </x:c>
      <x:c r="B1" s="117"/>
      <x:c r="C1" s="117"/>
      <x:c r="D1" s="117"/>
      <x:c r="E1" s="117"/>
      <x:c r="F1" s="117"/>
      <x:c r="G1" s="117"/>
      <x:c r="H1" s="117"/>
      <x:c r="I1" s="117"/>
      <x:c r="J1" s="117"/>
      <x:c r="K1" s="117"/>
      <x:c r="L1" s="117"/>
    </x:row>
    <x:row r="3">
      <x:c r="A3" t="str">
        <x:v>Période</x:v>
      </x:c>
      <x:c r="B3" t="str">
        <x:f>Parametres_Paie!B26</x:f>
        <x:v>Janvier 2025</x:v>
      </x:c>
      <x:c r="C3" t="str">
        <x:v>Dernière mise à jour</x:v>
      </x:c>
      <x:c r="D3" s="120" t="n">
        <x:v>46214.833645833336</x:v>
      </x:c>
      <x:c r="E3" t="str">
        <x:v>Note</x:v>
      </x:c>
      <x:c r="F3" t="str">
        <x:v>Données RH issues de Base_Personnel + calculs Lot_paie</x:v>
      </x:c>
    </x:row>
    <x:row r="5">
      <x:c r="A5" s="124" t="str">
        <x:v>Effectif total</x:v>
      </x:c>
      <x:c r="B5" s="124"/>
      <x:c r="C5" s="131" t="str">
        <x:v>Effectif actif</x:v>
      </x:c>
      <x:c r="D5" s="131"/>
      <x:c r="E5" s="124" t="str">
        <x:v>Départs / inactifs</x:v>
      </x:c>
      <x:c r="F5" s="124"/>
      <x:c r="G5" s="131" t="str">
        <x:v>Masse salariale brute</x:v>
      </x:c>
      <x:c r="H5" s="131"/>
      <x:c r="I5" s="124" t="str">
        <x:v>Total net à payer</x:v>
      </x:c>
      <x:c r="J5" s="124"/>
      <x:c r="K5" s="131" t="str">
        <x:v>Charges patronales</x:v>
      </x:c>
      <x:c r="L5" s="131"/>
    </x:row>
    <x:row r="6">
      <x:c r="A6" s="124" t="n">
        <x:f>COUNTA(Base_Personnel!$A$2:$A$36)</x:f>
        <x:v>35</x:v>
      </x:c>
      <x:c r="B6" s="124"/>
      <x:c r="C6" s="131" t="n">
        <x:f>COUNTIF(Base_Personnel!$Y$2:$Y$36,"Actif")</x:f>
        <x:v>33</x:v>
      </x:c>
      <x:c r="D6" s="131"/>
      <x:c r="E6" s="124" t="n">
        <x:f>COUNTA(Base_Personnel!$A$2:$A$36)-COUNTIF(Base_Personnel!$Y$2:$Y$36,"Actif")</x:f>
        <x:v>2</x:v>
      </x:c>
      <x:c r="F6" s="124"/>
      <x:c r="G6" s="136" t="n">
        <x:f>SUM(Lot_paie!$AS$2:$AS$36)</x:f>
        <x:v>979784</x:v>
      </x:c>
      <x:c r="H6" s="131"/>
      <x:c r="I6" s="138" t="n">
        <x:f>SUM(Lot_paie!$AT$2:$AT$36)</x:f>
        <x:v>750000</x:v>
      </x:c>
      <x:c r="J6" s="124"/>
      <x:c r="K6" s="136" t="n">
        <x:f>SUM(Lot_paie!$AQ$2:$AQ$36)</x:f>
        <x:v>106540</x:v>
      </x:c>
      <x:c r="L6" s="131"/>
    </x:row>
    <x:row r="7">
      <x:c r="A7" s="124"/>
      <x:c r="B7" s="124"/>
      <x:c r="C7" s="131"/>
      <x:c r="D7" s="131"/>
      <x:c r="E7" s="124"/>
      <x:c r="F7" s="124"/>
      <x:c r="G7" s="131"/>
      <x:c r="H7" s="131"/>
      <x:c r="I7" s="124"/>
      <x:c r="J7" s="124"/>
      <x:c r="K7" s="131"/>
      <x:c r="L7" s="131"/>
    </x:row>
    <x:row r="9">
      <x:c r="A9" s="14" t="str">
        <x:v>Direction</x:v>
      </x:c>
      <x:c r="B9" s="14" t="str">
        <x:v>Effectif</x:v>
      </x:c>
      <x:c r="C9" s="14" t="str">
        <x:v>Brut total</x:v>
      </x:c>
      <x:c r="D9" s="14" t="str">
        <x:v>Net total</x:v>
      </x:c>
      <x:c r="E9" s="14" t="str">
        <x:v>Charges patronales</x:v>
      </x:c>
      <x:c r="G9" s="14" t="str">
        <x:v>Genre</x:v>
      </x:c>
      <x:c r="H9" s="14" t="str">
        <x:v>Effectif</x:v>
      </x:c>
      <x:c r="J9" s="14" t="str">
        <x:v>Statut RH</x:v>
      </x:c>
      <x:c r="K9" s="14" t="str">
        <x:v>Effectif</x:v>
      </x:c>
    </x:row>
    <x:row r="10">
      <x:c r="A10" t="str">
        <x:v>Cabinet de la Direction Exécutive</x:v>
      </x:c>
      <x:c r="B10" t="n">
        <x:f>COUNTIF(Base_Personnel!$Z$2:$Z$36,A10)</x:f>
        <x:v>7</x:v>
      </x:c>
      <x:c r="C10" s="50" t="n">
        <x:f>SUMIF(Lot_paie!$D$2:$D$36,A10,Lot_paie!$AS$2:$AS$36)</x:f>
        <x:v>979784</x:v>
      </x:c>
      <x:c r="D10" s="50" t="n">
        <x:f>SUMIF(Lot_paie!$D$2:$D$36,A10,Lot_paie!$AT$2:$AT$36)</x:f>
        <x:v>750000</x:v>
      </x:c>
      <x:c r="E10" s="50" t="n">
        <x:f>SUMIF(Lot_paie!$D$2:$D$36,A10,Lot_paie!$AQ$2:$AQ$36)</x:f>
        <x:v>106540</x:v>
      </x:c>
      <x:c r="G10" t="str">
        <x:v>Homme</x:v>
      </x:c>
      <x:c r="H10" t="n">
        <x:f>COUNTIF(Base_Personnel!$D$2:$D$36,"Homme")</x:f>
        <x:v>22</x:v>
      </x:c>
      <x:c r="J10" t="str">
        <x:v>Actif</x:v>
      </x:c>
      <x:c r="K10" t="n">
        <x:f>COUNTIF(Base_Personnel!$Y$2:$Y$36,"Actif")</x:f>
        <x:v>33</x:v>
      </x:c>
    </x:row>
    <x:row r="11">
      <x:c r="A11" t="str">
        <x:v>Direction des Services aux Membres et des Programmes</x:v>
      </x:c>
      <x:c r="B11" t="n">
        <x:f>COUNTIF(Base_Personnel!$Z$2:$Z$36,A11)</x:f>
        <x:v>14</x:v>
      </x:c>
      <x:c r="C11" s="50" t="n">
        <x:f>SUMIF(Lot_paie!$D$2:$D$36,A11,Lot_paie!$AS$2:$AS$36)</x:f>
        <x:v>0</x:v>
      </x:c>
      <x:c r="D11" s="50" t="n">
        <x:f>SUMIF(Lot_paie!$D$2:$D$36,A11,Lot_paie!$AT$2:$AT$36)</x:f>
        <x:v>0</x:v>
      </x:c>
      <x:c r="E11" s="50" t="n">
        <x:f>SUMIF(Lot_paie!$D$2:$D$36,A11,Lot_paie!$AQ$2:$AQ$36)</x:f>
        <x:v>0</x:v>
      </x:c>
      <x:c r="G11" t="str">
        <x:v>Femme</x:v>
      </x:c>
      <x:c r="H11" t="n">
        <x:f>COUNTIF(Base_Personnel!$D$2:$D$36,"Femme")</x:f>
        <x:v>13</x:v>
      </x:c>
      <x:c r="J11" t="str">
        <x:v>Licencié</x:v>
      </x:c>
      <x:c r="K11" t="n">
        <x:f>COUNTIF(Base_Personnel!$Y$2:$Y$36,"Licencié")</x:f>
        <x:v>2</x:v>
      </x:c>
    </x:row>
    <x:row r="12">
      <x:c r="A12" t="str">
        <x:v>Direction Administrative et Financière</x:v>
      </x:c>
      <x:c r="B12" t="n">
        <x:f>COUNTIF(Base_Personnel!$Z$2:$Z$36,A12)</x:f>
        <x:v>14</x:v>
      </x:c>
      <x:c r="C12" s="50" t="n">
        <x:f>SUMIF(Lot_paie!$D$2:$D$36,A12,Lot_paie!$AS$2:$AS$36)</x:f>
        <x:v>0</x:v>
      </x:c>
      <x:c r="D12" s="50" t="n">
        <x:f>SUMIF(Lot_paie!$D$2:$D$36,A12,Lot_paie!$AT$2:$AT$36)</x:f>
        <x:v>0</x:v>
      </x:c>
      <x:c r="E12" s="50" t="n">
        <x:f>SUMIF(Lot_paie!$D$2:$D$36,A12,Lot_paie!$AQ$2:$AQ$36)</x:f>
        <x:v>0</x:v>
      </x:c>
      <x:c r="J12" t="str">
        <x:v>Autres</x:v>
      </x:c>
      <x:c r="K12" t="n">
        <x:f>COUNTA(Base_Personnel!$Y$2:$Y$36)-COUNTIF(Base_Personnel!$Y$2:$Y$36,"Actif")-COUNTIF(Base_Personnel!$Y$2:$Y$36,"Licencié")</x:f>
        <x:v>0</x:v>
      </x:c>
    </x:row>
    <x:row r="16">
      <x:c r="A16" s="14" t="str">
        <x:v>Contrôle qualité</x:v>
      </x:c>
      <x:c r="B16" s="14" t="str">
        <x:v>Nombre</x:v>
      </x:c>
      <x:c r="E16" s="14" t="str">
        <x:v>Tranche d’âge</x:v>
      </x:c>
      <x:c r="F16" s="14" t="str">
        <x:v>Effectif</x:v>
      </x:c>
    </x:row>
    <x:row r="17">
      <x:c r="A17" t="str">
        <x:v>Employés actifs sans CNPS</x:v>
      </x:c>
      <x:c r="B17" t="n">
        <x:f>COUNTIFS(Base_Personnel!$Y$2:$Y$36,"Actif",Base_Personnel!$X$2:$X$36,"")</x:f>
        <x:v>0</x:v>
      </x:c>
      <x:c r="E17" t="str">
        <x:v>&lt; 25 ans</x:v>
      </x:c>
      <x:c r="F17" t="n">
        <x:f>COUNTIFS(Base_Personnel!$AA$2:$AA$36,"&lt;25")</x:f>
        <x:v>4</x:v>
      </x:c>
    </x:row>
    <x:row r="18">
      <x:c r="A18" t="str">
        <x:v>Profils paie à compléter</x:v>
      </x:c>
      <x:c r="B18" t="n">
        <x:f>COUNTIF(Lot_paie!$AV$2:$AV$36,"Profil paie à compléter")</x:f>
        <x:v>32</x:v>
      </x:c>
      <x:c r="E18" t="str">
        <x:v>25-34 ans</x:v>
      </x:c>
      <x:c r="F18" t="n">
        <x:f>COUNTIFS(Base_Personnel!$AA$2:$AA$36,"&gt;=25",Base_Personnel!$AA$2:$AA$36,"&lt;=34")</x:f>
        <x:v>8</x:v>
      </x:c>
    </x:row>
    <x:row r="19">
      <x:c r="A19" t="str">
        <x:v>Contrats expirés</x:v>
      </x:c>
      <x:c r="B19" t="n">
        <x:f>COUNTIF(Base_Personnel!$AB$2:$AB$36,"Oui")</x:f>
        <x:v>0</x:v>
      </x:c>
      <x:c r="E19" t="str">
        <x:v>35-44 ans</x:v>
      </x:c>
      <x:c r="F19" t="n">
        <x:f>COUNTIFS(Base_Personnel!$AA$2:$AA$36,"&gt;=35",Base_Personnel!$AA$2:$AA$36,"&lt;=44")</x:f>
        <x:v>12</x:v>
      </x:c>
    </x:row>
    <x:row r="20">
      <x:c r="A20" t="str">
        <x:v>Bulletins OK</x:v>
      </x:c>
      <x:c r="B20" t="n">
        <x:f>COUNTIF(Lot_paie!$AV$2:$AV$36,"OK")</x:f>
        <x:v>1</x:v>
      </x:c>
      <x:c r="E20" t="str">
        <x:v>45-54 ans</x:v>
      </x:c>
      <x:c r="F20" t="n">
        <x:f>COUNTIFS(Base_Personnel!$AA$2:$AA$36,"&gt;=45",Base_Personnel!$AA$2:$AA$36,"&lt;=54")</x:f>
        <x:v>8</x:v>
      </x:c>
    </x:row>
    <x:row r="21">
      <x:c r="E21" t="str">
        <x:v>55 ans et +</x:v>
      </x:c>
      <x:c r="F21" t="n">
        <x:f>COUNTIFS(Base_Personnel!$AA$2:$AA$36,"&gt;=55")</x:f>
        <x:v>3</x:v>
      </x:c>
    </x:row>
  </x:sheetData>
  <x:mergeCells>
    <x:mergeCell ref="A1:L1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L5"/>
    <x:mergeCell ref="K6:L7"/>
  </x:mergeCells>
  <x:pageMargins left="0.7" right="0.7" top="0.75" bottom="0.75" header="0.3" footer="0.3"/>
  <x:drawing xmlns:r="http://schemas.openxmlformats.org/officeDocument/2006/relationships" r:id="R46895984d9e7424a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>
      <x:c r="A1" s="14" t="str">
        <x:v>table_cible</x:v>
      </x:c>
      <x:c r="B1" s="14" t="str">
        <x:v>matricule</x:v>
      </x:c>
      <x:c r="C1" s="14" t="str">
        <x:v>nom</x:v>
      </x:c>
      <x:c r="D1" s="14" t="str">
        <x:v>prenom</x:v>
      </x:c>
      <x:c r="E1" s="14" t="str">
        <x:v>direction</x:v>
      </x:c>
      <x:c r="F1" s="14" t="str">
        <x:v>service</x:v>
      </x:c>
      <x:c r="G1" s="14" t="str">
        <x:v>poste</x:v>
      </x:c>
      <x:c r="H1" s="14" t="str">
        <x:v>statut</x:v>
      </x:c>
      <x:c r="I1" s="14" t="str">
        <x:v>date_entree</x:v>
      </x:c>
      <x:c r="J1" s="14" t="str">
        <x:v>matricule_cnps</x:v>
      </x:c>
      <x:c r="K1" s="14" t="str">
        <x:v>salaire_base</x:v>
      </x:c>
      <x:c r="L1" s="14" t="str">
        <x:v>sursalaire</x:v>
      </x:c>
      <x:c r="M1" s="14" t="str">
        <x:v>parts_igr</x:v>
      </x:c>
      <x:c r="N1" s="14" t="str">
        <x:v>brut_imposable</x:v>
      </x:c>
      <x:c r="O1" s="14" t="str">
        <x:v>retenues_salarie</x:v>
      </x:c>
      <x:c r="P1" s="14" t="str">
        <x:v>charges_patronales</x:v>
      </x:c>
      <x:c r="Q1" s="14" t="str">
        <x:v>net_a_payer</x:v>
      </x:c>
      <x:c r="R1" s="14" t="str">
        <x:v>cout_total_employeur</x:v>
      </x:c>
      <x:c r="S1" s="14" t="str">
        <x:v>statut_controle</x:v>
      </x:c>
    </x:row>
    <x:row r="2">
      <x:c r="A2" t="str">
        <x:v>payroll_lines</x:v>
      </x:c>
      <x:c r="B2" t="str">
        <x:f>Lot_paie!A2</x:f>
        <x:v>0103F</x:v>
      </x:c>
      <x:c r="C2" t="str">
        <x:f>Lot_paie!B2</x:f>
        <x:v>ZOCLI</x:v>
      </x:c>
      <x:c r="D2" t="str">
        <x:f>Lot_paie!C2</x:f>
        <x:v>Kouessi Christian Ernest Junior</x:v>
      </x:c>
      <x:c r="E2" t="str">
        <x:f>Lot_paie!D2</x:f>
        <x:v>Cabinet de la Direction Exécutive</x:v>
      </x:c>
      <x:c r="F2" t="str">
        <x:f>Lot_paie!E2</x:f>
        <x:v>Cabinet DEX</x:v>
      </x:c>
      <x:c r="G2" t="str">
        <x:f>Lot_paie!F2</x:f>
        <x:v>Resp. Conformité Performance</x:v>
      </x:c>
      <x:c r="H2" t="str">
        <x:f>Lot_paie!H2</x:f>
        <x:v>Actif</x:v>
      </x:c>
      <x:c r="I2" s="42" t="n">
        <x:f>Lot_paie!I2</x:f>
        <x:v>45341</x:v>
      </x:c>
      <x:c r="J2" t="n">
        <x:f>Lot_paie!J2</x:f>
        <x:v>202400033605</x:v>
      </x:c>
      <x:c r="K2" s="50" t="n">
        <x:f>Lot_paie!K2</x:f>
        <x:v>0</x:v>
      </x:c>
      <x:c r="L2" s="50" t="n">
        <x:f>Lot_paie!L2</x:f>
        <x:v>0</x:v>
      </x:c>
      <x:c r="M2" s="50" t="n">
        <x:f>Lot_paie!M2</x:f>
        <x:v>1</x:v>
      </x:c>
      <x:c r="N2" s="50" t="n">
        <x:f>Lot_paie!AA2</x:f>
        <x:v>0</x:v>
      </x:c>
      <x:c r="O2" s="50" t="n">
        <x:f>Lot_paie!AG2</x:f>
        <x:v>0</x:v>
      </x:c>
      <x:c r="P2" s="50" t="n">
        <x:f>Lot_paie!AQ2</x:f>
        <x:v>0</x:v>
      </x:c>
      <x:c r="Q2" s="50" t="n">
        <x:f>Lot_paie!AT2</x:f>
        <x:v>0</x:v>
      </x:c>
      <x:c r="R2" s="50" t="n">
        <x:f>Lot_paie!AU2</x:f>
        <x:v>0</x:v>
      </x:c>
      <x:c r="S2" t="str">
        <x:f>Lot_paie!AV2</x:f>
        <x:v>Profil paie à compléter</x:v>
      </x:c>
    </x:row>
    <x:row r="3">
      <x:c r="A3" t="str">
        <x:v>payroll_lines</x:v>
      </x:c>
      <x:c r="B3" t="str">
        <x:f>Lot_paie!A3</x:f>
        <x:v>0085N</x:v>
      </x:c>
      <x:c r="C3" t="str">
        <x:f>Lot_paie!B3</x:f>
        <x:v>DANKOULOU</x:v>
      </x:c>
      <x:c r="D3" t="str">
        <x:f>Lot_paie!C3</x:f>
        <x:v>KHADY YASMINA</x:v>
      </x:c>
      <x:c r="E3" t="str">
        <x:f>Lot_paie!D3</x:f>
        <x:v>Direction des Services aux Membres et des Programmes</x:v>
      </x:c>
      <x:c r="F3" t="str">
        <x:f>Lot_paie!E3</x:f>
        <x:v>DMS</x:v>
      </x:c>
      <x:c r="G3" t="str">
        <x:f>Lot_paie!F3</x:f>
        <x:v>Assistante DMS</x:v>
      </x:c>
      <x:c r="H3" t="str">
        <x:f>Lot_paie!H3</x:f>
        <x:v>Actif</x:v>
      </x:c>
      <x:c r="I3" s="42" t="n">
        <x:f>Lot_paie!I3</x:f>
        <x:v>44873</x:v>
      </x:c>
      <x:c r="J3" t="n">
        <x:f>Lot_paie!J3</x:f>
        <x:v>202300058236</x:v>
      </x:c>
      <x:c r="K3" s="50" t="n">
        <x:f>Lot_paie!K3</x:f>
        <x:v>0</x:v>
      </x:c>
      <x:c r="L3" s="50" t="n">
        <x:f>Lot_paie!L3</x:f>
        <x:v>0</x:v>
      </x:c>
      <x:c r="M3" s="50" t="n">
        <x:f>Lot_paie!M3</x:f>
        <x:v>1</x:v>
      </x:c>
      <x:c r="N3" s="50" t="n">
        <x:f>Lot_paie!AA3</x:f>
        <x:v>0</x:v>
      </x:c>
      <x:c r="O3" s="50" t="n">
        <x:f>Lot_paie!AG3</x:f>
        <x:v>0</x:v>
      </x:c>
      <x:c r="P3" s="50" t="n">
        <x:f>Lot_paie!AQ3</x:f>
        <x:v>0</x:v>
      </x:c>
      <x:c r="Q3" s="50" t="n">
        <x:f>Lot_paie!AT3</x:f>
        <x:v>0</x:v>
      </x:c>
      <x:c r="R3" s="50" t="n">
        <x:f>Lot_paie!AU3</x:f>
        <x:v>0</x:v>
      </x:c>
      <x:c r="S3" t="str">
        <x:f>Lot_paie!AV3</x:f>
        <x:v>Profil paie à compléter</x:v>
      </x:c>
    </x:row>
    <x:row r="4">
      <x:c r="A4" t="str">
        <x:v>payroll_lines</x:v>
      </x:c>
      <x:c r="B4" t="str">
        <x:f>Lot_paie!A4</x:f>
        <x:v>0008D</x:v>
      </x:c>
      <x:c r="C4" t="str">
        <x:f>Lot_paie!B4</x:f>
        <x:v>KOFFI</x:v>
      </x:c>
      <x:c r="D4" t="str">
        <x:f>Lot_paie!C4</x:f>
        <x:v>Mathieu Kouakou</x:v>
      </x:c>
      <x:c r="E4" t="str">
        <x:f>Lot_paie!D4</x:f>
        <x:v>Direction Administrative et Financière</x:v>
      </x:c>
      <x:c r="F4" t="str">
        <x:f>Lot_paie!E4</x:f>
        <x:v>DAF</x:v>
      </x:c>
      <x:c r="G4" t="str">
        <x:f>Lot_paie!F4</x:f>
        <x:v>Agent Administratif</x:v>
      </x:c>
      <x:c r="H4" t="str">
        <x:f>Lot_paie!H4</x:f>
        <x:v>Actif</x:v>
      </x:c>
      <x:c r="I4" s="42" t="n">
        <x:f>Lot_paie!I4</x:f>
        <x:v>36392</x:v>
      </x:c>
      <x:c r="J4" t="n">
        <x:f>Lot_paie!J4</x:f>
        <x:v>169019927028</x:v>
      </x:c>
      <x:c r="K4" s="50" t="n">
        <x:f>Lot_paie!K4</x:f>
        <x:v>0</x:v>
      </x:c>
      <x:c r="L4" s="50" t="n">
        <x:f>Lot_paie!L4</x:f>
        <x:v>0</x:v>
      </x:c>
      <x:c r="M4" s="50" t="n">
        <x:f>Lot_paie!M4</x:f>
        <x:v>1</x:v>
      </x:c>
      <x:c r="N4" s="50" t="n">
        <x:f>Lot_paie!AA4</x:f>
        <x:v>0</x:v>
      </x:c>
      <x:c r="O4" s="50" t="n">
        <x:f>Lot_paie!AG4</x:f>
        <x:v>0</x:v>
      </x:c>
      <x:c r="P4" s="50" t="n">
        <x:f>Lot_paie!AQ4</x:f>
        <x:v>0</x:v>
      </x:c>
      <x:c r="Q4" s="50" t="n">
        <x:f>Lot_paie!AT4</x:f>
        <x:v>0</x:v>
      </x:c>
      <x:c r="R4" s="50" t="n">
        <x:f>Lot_paie!AU4</x:f>
        <x:v>0</x:v>
      </x:c>
      <x:c r="S4" t="str">
        <x:f>Lot_paie!AV4</x:f>
        <x:v>Profil paie à compléter</x:v>
      </x:c>
    </x:row>
    <x:row r="5">
      <x:c r="A5" t="str">
        <x:v>payroll_lines</x:v>
      </x:c>
      <x:c r="B5" t="str">
        <x:f>Lot_paie!A5</x:f>
        <x:v>0009A</x:v>
      </x:c>
      <x:c r="C5" t="str">
        <x:f>Lot_paie!B5</x:f>
        <x:v>DIGBEU</x:v>
      </x:c>
      <x:c r="D5" t="str">
        <x:f>Lot_paie!C5</x:f>
        <x:v>Aimé Kaloua</x:v>
      </x:c>
      <x:c r="E5" t="str">
        <x:f>Lot_paie!D5</x:f>
        <x:v>Direction des Services aux Membres et des Programmes</x:v>
      </x:c>
      <x:c r="F5" t="str">
        <x:f>Lot_paie!E5</x:f>
        <x:v>DMS</x:v>
      </x:c>
      <x:c r="G5" t="str">
        <x:f>Lot_paie!F5</x:f>
        <x:v>Responsable Exposition</x:v>
      </x:c>
      <x:c r="H5" t="str">
        <x:f>Lot_paie!H5</x:f>
        <x:v>Actif</x:v>
      </x:c>
      <x:c r="I5" s="42" t="n">
        <x:f>Lot_paie!I5</x:f>
        <x:v>39264</x:v>
      </x:c>
      <x:c r="J5" t="n">
        <x:f>Lot_paie!J5</x:f>
        <x:v>167019400391</x:v>
      </x:c>
      <x:c r="K5" s="50" t="n">
        <x:f>Lot_paie!K5</x:f>
        <x:v>0</x:v>
      </x:c>
      <x:c r="L5" s="50" t="n">
        <x:f>Lot_paie!L5</x:f>
        <x:v>0</x:v>
      </x:c>
      <x:c r="M5" s="50" t="n">
        <x:f>Lot_paie!M5</x:f>
        <x:v>1</x:v>
      </x:c>
      <x:c r="N5" s="50" t="n">
        <x:f>Lot_paie!AA5</x:f>
        <x:v>0</x:v>
      </x:c>
      <x:c r="O5" s="50" t="n">
        <x:f>Lot_paie!AG5</x:f>
        <x:v>0</x:v>
      </x:c>
      <x:c r="P5" s="50" t="n">
        <x:f>Lot_paie!AQ5</x:f>
        <x:v>0</x:v>
      </x:c>
      <x:c r="Q5" s="50" t="n">
        <x:f>Lot_paie!AT5</x:f>
        <x:v>0</x:v>
      </x:c>
      <x:c r="R5" s="50" t="n">
        <x:f>Lot_paie!AU5</x:f>
        <x:v>0</x:v>
      </x:c>
      <x:c r="S5" t="str">
        <x:f>Lot_paie!AV5</x:f>
        <x:v>Profil paie à compléter</x:v>
      </x:c>
    </x:row>
    <x:row r="6">
      <x:c r="A6" t="str">
        <x:v>payroll_lines</x:v>
      </x:c>
      <x:c r="B6" t="str">
        <x:f>Lot_paie!A6</x:f>
        <x:v>0010H</x:v>
      </x:c>
      <x:c r="C6" t="str">
        <x:f>Lot_paie!B6</x:f>
        <x:v>ASSIENIN</x:v>
      </x:c>
      <x:c r="D6" t="str">
        <x:f>Lot_paie!C6</x:f>
        <x:v>Aya Corine Sylvie</x:v>
      </x:c>
      <x:c r="E6" t="str">
        <x:f>Lot_paie!D6</x:f>
        <x:v>Direction Administrative et Financière</x:v>
      </x:c>
      <x:c r="F6" t="str">
        <x:f>Lot_paie!E6</x:f>
        <x:v>DAF</x:v>
      </x:c>
      <x:c r="G6" t="str">
        <x:f>Lot_paie!F6</x:f>
        <x:v>Assistante Ressources Humaines</x:v>
      </x:c>
      <x:c r="H6" t="str">
        <x:f>Lot_paie!H6</x:f>
        <x:v>Actif</x:v>
      </x:c>
      <x:c r="I6" s="42" t="n">
        <x:f>Lot_paie!I6</x:f>
        <x:v>38169</x:v>
      </x:c>
      <x:c r="J6" t="n">
        <x:f>Lot_paie!J6</x:f>
        <x:v>279010525990</x:v>
      </x:c>
      <x:c r="K6" s="50" t="n">
        <x:f>Lot_paie!K6</x:f>
        <x:v>0</x:v>
      </x:c>
      <x:c r="L6" s="50" t="n">
        <x:f>Lot_paie!L6</x:f>
        <x:v>0</x:v>
      </x:c>
      <x:c r="M6" s="50" t="n">
        <x:f>Lot_paie!M6</x:f>
        <x:v>1</x:v>
      </x:c>
      <x:c r="N6" s="50" t="n">
        <x:f>Lot_paie!AA6</x:f>
        <x:v>0</x:v>
      </x:c>
      <x:c r="O6" s="50" t="n">
        <x:f>Lot_paie!AG6</x:f>
        <x:v>0</x:v>
      </x:c>
      <x:c r="P6" s="50" t="n">
        <x:f>Lot_paie!AQ6</x:f>
        <x:v>0</x:v>
      </x:c>
      <x:c r="Q6" s="50" t="n">
        <x:f>Lot_paie!AT6</x:f>
        <x:v>0</x:v>
      </x:c>
      <x:c r="R6" s="50" t="n">
        <x:f>Lot_paie!AU6</x:f>
        <x:v>0</x:v>
      </x:c>
      <x:c r="S6" t="str">
        <x:f>Lot_paie!AV6</x:f>
        <x:v>Profil paie à compléter</x:v>
      </x:c>
    </x:row>
    <x:row r="7">
      <x:c r="A7" t="str">
        <x:v>payroll_lines</x:v>
      </x:c>
      <x:c r="B7" t="str">
        <x:f>Lot_paie!A7</x:f>
        <x:v>0014D</x:v>
      </x:c>
      <x:c r="C7" t="str">
        <x:f>Lot_paie!B7</x:f>
        <x:v>N’GUESSAN KOFFI</x:v>
      </x:c>
      <x:c r="D7" t="str">
        <x:f>Lot_paie!C7</x:f>
        <x:v>Sonia</x:v>
      </x:c>
      <x:c r="E7" t="str">
        <x:f>Lot_paie!D7</x:f>
        <x:v>Direction Administrative et Financière</x:v>
      </x:c>
      <x:c r="F7" t="str">
        <x:f>Lot_paie!E7</x:f>
        <x:v>DAF</x:v>
      </x:c>
      <x:c r="G7" t="str">
        <x:f>Lot_paie!F7</x:f>
        <x:v>Responsable Comptable &amp; Financier</x:v>
      </x:c>
      <x:c r="H7" t="str">
        <x:f>Lot_paie!H7</x:f>
        <x:v>Actif</x:v>
      </x:c>
      <x:c r="I7" s="42" t="n">
        <x:f>Lot_paie!I7</x:f>
        <x:v>41640</x:v>
      </x:c>
      <x:c r="J7" t="n">
        <x:f>Lot_paie!J7</x:f>
        <x:v>289011438025</x:v>
      </x:c>
      <x:c r="K7" s="50" t="n">
        <x:f>Lot_paie!K7</x:f>
        <x:v>0</x:v>
      </x:c>
      <x:c r="L7" s="50" t="n">
        <x:f>Lot_paie!L7</x:f>
        <x:v>0</x:v>
      </x:c>
      <x:c r="M7" s="50" t="n">
        <x:f>Lot_paie!M7</x:f>
        <x:v>1</x:v>
      </x:c>
      <x:c r="N7" s="50" t="n">
        <x:f>Lot_paie!AA7</x:f>
        <x:v>0</x:v>
      </x:c>
      <x:c r="O7" s="50" t="n">
        <x:f>Lot_paie!AG7</x:f>
        <x:v>0</x:v>
      </x:c>
      <x:c r="P7" s="50" t="n">
        <x:f>Lot_paie!AQ7</x:f>
        <x:v>0</x:v>
      </x:c>
      <x:c r="Q7" s="50" t="n">
        <x:f>Lot_paie!AT7</x:f>
        <x:v>0</x:v>
      </x:c>
      <x:c r="R7" s="50" t="n">
        <x:f>Lot_paie!AU7</x:f>
        <x:v>0</x:v>
      </x:c>
      <x:c r="S7" t="str">
        <x:f>Lot_paie!AV7</x:f>
        <x:v>Profil paie à compléter</x:v>
      </x:c>
    </x:row>
    <x:row r="8">
      <x:c r="A8" t="str">
        <x:v>payroll_lines</x:v>
      </x:c>
      <x:c r="B8" t="str">
        <x:f>Lot_paie!A8</x:f>
        <x:v>0017F</x:v>
      </x:c>
      <x:c r="C8" t="str">
        <x:f>Lot_paie!B8</x:f>
        <x:v>KENFACK</x:v>
      </x:c>
      <x:c r="D8" t="str">
        <x:f>Lot_paie!C8</x:f>
        <x:v>Siméon</x:v>
      </x:c>
      <x:c r="E8" t="str">
        <x:f>Lot_paie!D8</x:f>
        <x:v>Direction des Services aux Membres et des Programmes</x:v>
      </x:c>
      <x:c r="F8" t="str">
        <x:f>Lot_paie!E8</x:f>
        <x:v>DP</x:v>
      </x:c>
      <x:c r="G8" t="str">
        <x:f>Lot_paie!F8</x:f>
        <x:v>Directeur Programmes et du Développement Professionnel</x:v>
      </x:c>
      <x:c r="H8" t="str">
        <x:f>Lot_paie!H8</x:f>
        <x:v>Actif</x:v>
      </x:c>
      <x:c r="I8" s="42" t="n">
        <x:f>Lot_paie!I8</x:f>
        <x:v>41518</x:v>
      </x:c>
      <x:c r="J8" t="n">
        <x:f>Lot_paie!J8</x:f>
        <x:v>166101882858</x:v>
      </x:c>
      <x:c r="K8" s="50" t="n">
        <x:f>Lot_paie!K8</x:f>
        <x:v>0</x:v>
      </x:c>
      <x:c r="L8" s="50" t="n">
        <x:f>Lot_paie!L8</x:f>
        <x:v>0</x:v>
      </x:c>
      <x:c r="M8" s="50" t="n">
        <x:f>Lot_paie!M8</x:f>
        <x:v>1</x:v>
      </x:c>
      <x:c r="N8" s="50" t="n">
        <x:f>Lot_paie!AA8</x:f>
        <x:v>0</x:v>
      </x:c>
      <x:c r="O8" s="50" t="n">
        <x:f>Lot_paie!AG8</x:f>
        <x:v>0</x:v>
      </x:c>
      <x:c r="P8" s="50" t="n">
        <x:f>Lot_paie!AQ8</x:f>
        <x:v>0</x:v>
      </x:c>
      <x:c r="Q8" s="50" t="n">
        <x:f>Lot_paie!AT8</x:f>
        <x:v>0</x:v>
      </x:c>
      <x:c r="R8" s="50" t="n">
        <x:f>Lot_paie!AU8</x:f>
        <x:v>0</x:v>
      </x:c>
      <x:c r="S8" t="str">
        <x:f>Lot_paie!AV8</x:f>
        <x:v>Profil paie à compléter</x:v>
      </x:c>
    </x:row>
    <x:row r="9">
      <x:c r="A9" t="str">
        <x:v>payroll_lines</x:v>
      </x:c>
      <x:c r="B9" t="str">
        <x:f>Lot_paie!A9</x:f>
        <x:v>0020K</x:v>
      </x:c>
      <x:c r="C9" t="str">
        <x:f>Lot_paie!B9</x:f>
        <x:v>KOUAKOU</x:v>
      </x:c>
      <x:c r="D9" t="str">
        <x:f>Lot_paie!C9</x:f>
        <x:v>Kouadio Evrard Nicaise</x:v>
      </x:c>
      <x:c r="E9" t="str">
        <x:f>Lot_paie!D9</x:f>
        <x:v>Direction Administrative et Financière</x:v>
      </x:c>
      <x:c r="F9" t="str">
        <x:f>Lot_paie!E9</x:f>
        <x:v>DAF</x:v>
      </x:c>
      <x:c r="G9" t="str">
        <x:f>Lot_paie!F9</x:f>
        <x:v>Responsale des TIC</x:v>
      </x:c>
      <x:c r="H9" t="str">
        <x:f>Lot_paie!H9</x:f>
        <x:v>Actif</x:v>
      </x:c>
      <x:c r="I9" s="42" t="n">
        <x:f>Lot_paie!I9</x:f>
        <x:v>41760</x:v>
      </x:c>
      <x:c r="J9" t="n">
        <x:f>Lot_paie!J9</x:f>
        <x:v>183011500094</x:v>
      </x:c>
      <x:c r="K9" s="50" t="n">
        <x:f>Lot_paie!K9</x:f>
        <x:v>0</x:v>
      </x:c>
      <x:c r="L9" s="50" t="n">
        <x:f>Lot_paie!L9</x:f>
        <x:v>0</x:v>
      </x:c>
      <x:c r="M9" s="50" t="n">
        <x:f>Lot_paie!M9</x:f>
        <x:v>1</x:v>
      </x:c>
      <x:c r="N9" s="50" t="n">
        <x:f>Lot_paie!AA9</x:f>
        <x:v>0</x:v>
      </x:c>
      <x:c r="O9" s="50" t="n">
        <x:f>Lot_paie!AG9</x:f>
        <x:v>0</x:v>
      </x:c>
      <x:c r="P9" s="50" t="n">
        <x:f>Lot_paie!AQ9</x:f>
        <x:v>0</x:v>
      </x:c>
      <x:c r="Q9" s="50" t="n">
        <x:f>Lot_paie!AT9</x:f>
        <x:v>0</x:v>
      </x:c>
      <x:c r="R9" s="50" t="n">
        <x:f>Lot_paie!AU9</x:f>
        <x:v>0</x:v>
      </x:c>
      <x:c r="S9" t="str">
        <x:f>Lot_paie!AV9</x:f>
        <x:v>Profil paie à compléter</x:v>
      </x:c>
    </x:row>
    <x:row r="10">
      <x:c r="A10" t="str">
        <x:v>payroll_lines</x:v>
      </x:c>
      <x:c r="B10" t="str">
        <x:f>Lot_paie!A10</x:f>
        <x:v>0028M</x:v>
      </x:c>
      <x:c r="C10" t="str">
        <x:f>Lot_paie!B10</x:f>
        <x:v>YAO</x:v>
      </x:c>
      <x:c r="D10" t="str">
        <x:f>Lot_paie!C10</x:f>
        <x:v>Kouadio Valentin</x:v>
      </x:c>
      <x:c r="E10" t="str">
        <x:f>Lot_paie!D10</x:f>
        <x:v>Direction des Services aux Membres et des Programmes</x:v>
      </x:c>
      <x:c r="F10" t="str">
        <x:f>Lot_paie!E10</x:f>
        <x:v>DP</x:v>
      </x:c>
      <x:c r="G10" t="str">
        <x:f>Lot_paie!F10</x:f>
        <x:v>Coordonnateur Senior Programme Assainissement en charge de SAO-CWIS</x:v>
      </x:c>
      <x:c r="H10" t="str">
        <x:f>Lot_paie!H10</x:f>
        <x:v>Actif</x:v>
      </x:c>
      <x:c r="I10" s="42" t="n">
        <x:f>Lot_paie!I10</x:f>
        <x:v>42005</x:v>
      </x:c>
      <x:c r="J10" t="n">
        <x:f>Lot_paie!J10</x:f>
        <x:v>179011055255</x:v>
      </x:c>
      <x:c r="K10" s="50" t="n">
        <x:f>Lot_paie!K10</x:f>
        <x:v>0</x:v>
      </x:c>
      <x:c r="L10" s="50" t="n">
        <x:f>Lot_paie!L10</x:f>
        <x:v>0</x:v>
      </x:c>
      <x:c r="M10" s="50" t="n">
        <x:f>Lot_paie!M10</x:f>
        <x:v>1</x:v>
      </x:c>
      <x:c r="N10" s="50" t="n">
        <x:f>Lot_paie!AA10</x:f>
        <x:v>0</x:v>
      </x:c>
      <x:c r="O10" s="50" t="n">
        <x:f>Lot_paie!AG10</x:f>
        <x:v>0</x:v>
      </x:c>
      <x:c r="P10" s="50" t="n">
        <x:f>Lot_paie!AQ10</x:f>
        <x:v>0</x:v>
      </x:c>
      <x:c r="Q10" s="50" t="n">
        <x:f>Lot_paie!AT10</x:f>
        <x:v>0</x:v>
      </x:c>
      <x:c r="R10" s="50" t="n">
        <x:f>Lot_paie!AU10</x:f>
        <x:v>0</x:v>
      </x:c>
      <x:c r="S10" t="str">
        <x:f>Lot_paie!AV10</x:f>
        <x:v>Profil paie à compléter</x:v>
      </x:c>
    </x:row>
    <x:row r="11">
      <x:c r="A11" t="str">
        <x:v>payroll_lines</x:v>
      </x:c>
      <x:c r="B11" t="str">
        <x:f>Lot_paie!A11</x:f>
        <x:v>0030E</x:v>
      </x:c>
      <x:c r="C11" t="str">
        <x:f>Lot_paie!B11</x:f>
        <x:v>KONE</x:v>
      </x:c>
      <x:c r="D11" t="str">
        <x:f>Lot_paie!C11</x:f>
        <x:v>Soumaïla</x:v>
      </x:c>
      <x:c r="E11" t="str">
        <x:f>Lot_paie!D11</x:f>
        <x:v>Cabinet de la Direction Exécutive</x:v>
      </x:c>
      <x:c r="F11" t="str">
        <x:f>Lot_paie!E11</x:f>
        <x:v>DEX</x:v>
      </x:c>
      <x:c r="G11" t="str">
        <x:f>Lot_paie!F11</x:f>
        <x:v>Chauffeur</x:v>
      </x:c>
      <x:c r="H11" t="str">
        <x:f>Lot_paie!H11</x:f>
        <x:v>Actif</x:v>
      </x:c>
      <x:c r="I11" s="42" t="n">
        <x:f>Lot_paie!I11</x:f>
        <x:v>42064</x:v>
      </x:c>
      <x:c r="J11" t="n">
        <x:f>Lot_paie!J11</x:f>
        <x:v>166011711861</x:v>
      </x:c>
      <x:c r="K11" s="50" t="n">
        <x:f>Lot_paie!K11</x:f>
        <x:v>0</x:v>
      </x:c>
      <x:c r="L11" s="50" t="n">
        <x:f>Lot_paie!L11</x:f>
        <x:v>0</x:v>
      </x:c>
      <x:c r="M11" s="50" t="n">
        <x:f>Lot_paie!M11</x:f>
        <x:v>1</x:v>
      </x:c>
      <x:c r="N11" s="50" t="n">
        <x:f>Lot_paie!AA11</x:f>
        <x:v>0</x:v>
      </x:c>
      <x:c r="O11" s="50" t="n">
        <x:f>Lot_paie!AG11</x:f>
        <x:v>0</x:v>
      </x:c>
      <x:c r="P11" s="50" t="n">
        <x:f>Lot_paie!AQ11</x:f>
        <x:v>0</x:v>
      </x:c>
      <x:c r="Q11" s="50" t="n">
        <x:f>Lot_paie!AT11</x:f>
        <x:v>0</x:v>
      </x:c>
      <x:c r="R11" s="50" t="n">
        <x:f>Lot_paie!AU11</x:f>
        <x:v>0</x:v>
      </x:c>
      <x:c r="S11" t="str">
        <x:f>Lot_paie!AV11</x:f>
        <x:v>Profil paie à compléter</x:v>
      </x:c>
    </x:row>
    <x:row r="12">
      <x:c r="A12" t="str">
        <x:v>payroll_lines</x:v>
      </x:c>
      <x:c r="B12" t="str">
        <x:f>Lot_paie!A12</x:f>
        <x:v>0032F</x:v>
      </x:c>
      <x:c r="C12" t="str">
        <x:f>Lot_paie!B12</x:f>
        <x:v>TIHI SEA</x:v>
      </x:c>
      <x:c r="D12" t="str">
        <x:f>Lot_paie!C12</x:f>
        <x:v>Drissehonnon Vanessa</x:v>
      </x:c>
      <x:c r="E12" t="str">
        <x:f>Lot_paie!D12</x:f>
        <x:v>Direction Administrative et Financière</x:v>
      </x:c>
      <x:c r="F12" t="str">
        <x:f>Lot_paie!E12</x:f>
        <x:v>DAF</x:v>
      </x:c>
      <x:c r="G12" t="str">
        <x:f>Lot_paie!F12</x:f>
        <x:v>Comptable Senior en Charge de la Trésorerie</x:v>
      </x:c>
      <x:c r="H12" t="str">
        <x:f>Lot_paie!H12</x:f>
        <x:v>Actif</x:v>
      </x:c>
      <x:c r="I12" s="42" t="n">
        <x:f>Lot_paie!I12</x:f>
        <x:v>42401</x:v>
      </x:c>
      <x:c r="J12" t="n">
        <x:f>Lot_paie!J12</x:f>
        <x:v>289011732370</x:v>
      </x:c>
      <x:c r="K12" s="50" t="n">
        <x:f>Lot_paie!K12</x:f>
        <x:v>0</x:v>
      </x:c>
      <x:c r="L12" s="50" t="n">
        <x:f>Lot_paie!L12</x:f>
        <x:v>0</x:v>
      </x:c>
      <x:c r="M12" s="50" t="n">
        <x:f>Lot_paie!M12</x:f>
        <x:v>1</x:v>
      </x:c>
      <x:c r="N12" s="50" t="n">
        <x:f>Lot_paie!AA12</x:f>
        <x:v>0</x:v>
      </x:c>
      <x:c r="O12" s="50" t="n">
        <x:f>Lot_paie!AG12</x:f>
        <x:v>0</x:v>
      </x:c>
      <x:c r="P12" s="50" t="n">
        <x:f>Lot_paie!AQ12</x:f>
        <x:v>0</x:v>
      </x:c>
      <x:c r="Q12" s="50" t="n">
        <x:f>Lot_paie!AT12</x:f>
        <x:v>0</x:v>
      </x:c>
      <x:c r="R12" s="50" t="n">
        <x:f>Lot_paie!AU12</x:f>
        <x:v>0</x:v>
      </x:c>
      <x:c r="S12" t="str">
        <x:f>Lot_paie!AV12</x:f>
        <x:v>Profil paie à compléter</x:v>
      </x:c>
    </x:row>
    <x:row r="13">
      <x:c r="A13" t="str">
        <x:v>payroll_lines</x:v>
      </x:c>
      <x:c r="B13" t="str">
        <x:f>Lot_paie!A13</x:f>
        <x:v>0033M</x:v>
      </x:c>
      <x:c r="C13" t="str">
        <x:f>Lot_paie!B13</x:f>
        <x:v>DJAGOUN</x:v>
      </x:c>
      <x:c r="D13" t="str">
        <x:f>Lot_paie!C13</x:f>
        <x:v>Kolawolé Akindé Gilles</x:v>
      </x:c>
      <x:c r="E13" t="str">
        <x:f>Lot_paie!D13</x:f>
        <x:v>Direction des Services aux Membres et des Programmes</x:v>
      </x:c>
      <x:c r="F13" t="str">
        <x:f>Lot_paie!E13</x:f>
        <x:v>DP</x:v>
      </x:c>
      <x:c r="G13" t="str">
        <x:f>Lot_paie!F13</x:f>
        <x:v>Coordonnateur Senior Programme Eau en Charge d'Africap</x:v>
      </x:c>
      <x:c r="H13" t="str">
        <x:f>Lot_paie!H13</x:f>
        <x:v>Licencié</x:v>
      </x:c>
      <x:c r="I13" s="42" t="n">
        <x:f>Lot_paie!I13</x:f>
        <x:v>46082</x:v>
      </x:c>
      <x:c r="J13" t="n">
        <x:f>Lot_paie!J13</x:f>
        <x:v>181051882852</x:v>
      </x:c>
      <x:c r="K13" s="50" t="n">
        <x:f>Lot_paie!K13</x:f>
        <x:v>0</x:v>
      </x:c>
      <x:c r="L13" s="50" t="n">
        <x:f>Lot_paie!L13</x:f>
        <x:v>0</x:v>
      </x:c>
      <x:c r="M13" s="50" t="n">
        <x:f>Lot_paie!M13</x:f>
        <x:v>1</x:v>
      </x:c>
      <x:c r="N13" s="50" t="n">
        <x:f>Lot_paie!AA13</x:f>
        <x:v>0</x:v>
      </x:c>
      <x:c r="O13" s="50" t="n">
        <x:f>Lot_paie!AG13</x:f>
        <x:v>0</x:v>
      </x:c>
      <x:c r="P13" s="50" t="n">
        <x:f>Lot_paie!AQ13</x:f>
        <x:v>0</x:v>
      </x:c>
      <x:c r="Q13" s="50" t="n">
        <x:f>Lot_paie!AT13</x:f>
        <x:v>0</x:v>
      </x:c>
      <x:c r="R13" s="50" t="n">
        <x:f>Lot_paie!AU13</x:f>
        <x:v>0</x:v>
      </x:c>
      <x:c r="S13" t="str">
        <x:f>Lot_paie!AV13</x:f>
        <x:v>Inactif/à vérifier</x:v>
      </x:c>
    </x:row>
    <x:row r="14">
      <x:c r="A14" t="str">
        <x:v>payroll_lines</x:v>
      </x:c>
      <x:c r="B14" t="str">
        <x:f>Lot_paie!A14</x:f>
        <x:v>0038M</x:v>
      </x:c>
      <x:c r="C14" t="str">
        <x:f>Lot_paie!B14</x:f>
        <x:v>GNANKPA</x:v>
      </x:c>
      <x:c r="D14" t="str">
        <x:f>Lot_paie!C14</x:f>
        <x:v>Kouassi Olivier Marius</x:v>
      </x:c>
      <x:c r="E14" t="str">
        <x:f>Lot_paie!D14</x:f>
        <x:v>Direction Administrative et Financière</x:v>
      </x:c>
      <x:c r="F14" t="str">
        <x:f>Lot_paie!E14</x:f>
        <x:v>DAF</x:v>
      </x:c>
      <x:c r="G14" t="str">
        <x:f>Lot_paie!F14</x:f>
        <x:v>Directeur Administratif &amp; Financier</x:v>
      </x:c>
      <x:c r="H14" t="str">
        <x:f>Lot_paie!H14</x:f>
        <x:v>Actif</x:v>
      </x:c>
      <x:c r="I14" s="42" t="n">
        <x:f>Lot_paie!I14</x:f>
        <x:v>42430</x:v>
      </x:c>
      <x:c r="J14" t="n">
        <x:f>Lot_paie!J14</x:f>
        <x:v>181010623871</x:v>
      </x:c>
      <x:c r="K14" s="50" t="n">
        <x:f>Lot_paie!K14</x:f>
        <x:v>0</x:v>
      </x:c>
      <x:c r="L14" s="50" t="n">
        <x:f>Lot_paie!L14</x:f>
        <x:v>0</x:v>
      </x:c>
      <x:c r="M14" s="50" t="n">
        <x:f>Lot_paie!M14</x:f>
        <x:v>1</x:v>
      </x:c>
      <x:c r="N14" s="50" t="n">
        <x:f>Lot_paie!AA14</x:f>
        <x:v>0</x:v>
      </x:c>
      <x:c r="O14" s="50" t="n">
        <x:f>Lot_paie!AG14</x:f>
        <x:v>0</x:v>
      </x:c>
      <x:c r="P14" s="50" t="n">
        <x:f>Lot_paie!AQ14</x:f>
        <x:v>0</x:v>
      </x:c>
      <x:c r="Q14" s="50" t="n">
        <x:f>Lot_paie!AT14</x:f>
        <x:v>0</x:v>
      </x:c>
      <x:c r="R14" s="50" t="n">
        <x:f>Lot_paie!AU14</x:f>
        <x:v>0</x:v>
      </x:c>
      <x:c r="S14" t="str">
        <x:f>Lot_paie!AV14</x:f>
        <x:v>Profil paie à compléter</x:v>
      </x:c>
    </x:row>
    <x:row r="15">
      <x:c r="A15" t="str">
        <x:v>payroll_lines</x:v>
      </x:c>
      <x:c r="B15" t="str">
        <x:f>Lot_paie!A15</x:f>
        <x:v>0040N</x:v>
      </x:c>
      <x:c r="C15" t="str">
        <x:f>Lot_paie!B15</x:f>
        <x:v>GOHOU NZICKONAN</x:v>
      </x:c>
      <x:c r="D15" t="str">
        <x:f>Lot_paie!C15</x:f>
        <x:v>Gisèle Stéphanie</x:v>
      </x:c>
      <x:c r="E15" t="str">
        <x:f>Lot_paie!D15</x:f>
        <x:v>Cabinet de la Direction Exécutive</x:v>
      </x:c>
      <x:c r="F15" t="str">
        <x:f>Lot_paie!E15</x:f>
        <x:v>Cabinet DEX</x:v>
      </x:c>
      <x:c r="G15" t="str">
        <x:f>Lot_paie!F15</x:f>
        <x:v>Responsable Communication</x:v>
      </x:c>
      <x:c r="H15" t="str">
        <x:f>Lot_paie!H15</x:f>
        <x:v>Actif</x:v>
      </x:c>
      <x:c r="I15" s="42" t="n">
        <x:f>Lot_paie!I15</x:f>
        <x:v>42795</x:v>
      </x:c>
      <x:c r="J15" t="n">
        <x:f>Lot_paie!J15</x:f>
        <x:v>275010704625</x:v>
      </x:c>
      <x:c r="K15" s="50" t="n">
        <x:f>Lot_paie!K15</x:f>
        <x:v>0</x:v>
      </x:c>
      <x:c r="L15" s="50" t="n">
        <x:f>Lot_paie!L15</x:f>
        <x:v>0</x:v>
      </x:c>
      <x:c r="M15" s="50" t="n">
        <x:f>Lot_paie!M15</x:f>
        <x:v>1</x:v>
      </x:c>
      <x:c r="N15" s="50" t="n">
        <x:f>Lot_paie!AA15</x:f>
        <x:v>0</x:v>
      </x:c>
      <x:c r="O15" s="50" t="n">
        <x:f>Lot_paie!AG15</x:f>
        <x:v>0</x:v>
      </x:c>
      <x:c r="P15" s="50" t="n">
        <x:f>Lot_paie!AQ15</x:f>
        <x:v>0</x:v>
      </x:c>
      <x:c r="Q15" s="50" t="n">
        <x:f>Lot_paie!AT15</x:f>
        <x:v>0</x:v>
      </x:c>
      <x:c r="R15" s="50" t="n">
        <x:f>Lot_paie!AU15</x:f>
        <x:v>0</x:v>
      </x:c>
      <x:c r="S15" t="str">
        <x:f>Lot_paie!AV15</x:f>
        <x:v>Profil paie à compléter</x:v>
      </x:c>
    </x:row>
    <x:row r="16">
      <x:c r="A16" t="str">
        <x:v>payroll_lines</x:v>
      </x:c>
      <x:c r="B16" t="str">
        <x:f>Lot_paie!A16</x:f>
        <x:v>0045A</x:v>
      </x:c>
      <x:c r="C16" t="str">
        <x:f>Lot_paie!B16</x:f>
        <x:v>YAO</x:v>
      </x:c>
      <x:c r="D16" t="str">
        <x:f>Lot_paie!C16</x:f>
        <x:v>Kan Amos</x:v>
      </x:c>
      <x:c r="E16" t="str">
        <x:f>Lot_paie!D16</x:f>
        <x:v>Direction Administrative et Financière</x:v>
      </x:c>
      <x:c r="F16" t="str">
        <x:f>Lot_paie!E16</x:f>
        <x:v>DAF</x:v>
      </x:c>
      <x:c r="G16" t="str">
        <x:f>Lot_paie!F16</x:f>
        <x:v>Chargé des Achats</x:v>
      </x:c>
      <x:c r="H16" t="str">
        <x:f>Lot_paie!H16</x:f>
        <x:v>Actif</x:v>
      </x:c>
      <x:c r="I16" s="42" t="n">
        <x:f>Lot_paie!I16</x:f>
        <x:v>43222</x:v>
      </x:c>
      <x:c r="J16" t="n">
        <x:f>Lot_paie!J16</x:f>
        <x:v>178011202993</x:v>
      </x:c>
      <x:c r="K16" s="50" t="n">
        <x:f>Lot_paie!K16</x:f>
        <x:v>0</x:v>
      </x:c>
      <x:c r="L16" s="50" t="n">
        <x:f>Lot_paie!L16</x:f>
        <x:v>0</x:v>
      </x:c>
      <x:c r="M16" s="50" t="n">
        <x:f>Lot_paie!M16</x:f>
        <x:v>1</x:v>
      </x:c>
      <x:c r="N16" s="50" t="n">
        <x:f>Lot_paie!AA16</x:f>
        <x:v>0</x:v>
      </x:c>
      <x:c r="O16" s="50" t="n">
        <x:f>Lot_paie!AG16</x:f>
        <x:v>0</x:v>
      </x:c>
      <x:c r="P16" s="50" t="n">
        <x:f>Lot_paie!AQ16</x:f>
        <x:v>0</x:v>
      </x:c>
      <x:c r="Q16" s="50" t="n">
        <x:f>Lot_paie!AT16</x:f>
        <x:v>0</x:v>
      </x:c>
      <x:c r="R16" s="50" t="n">
        <x:f>Lot_paie!AU16</x:f>
        <x:v>0</x:v>
      </x:c>
      <x:c r="S16" t="str">
        <x:f>Lot_paie!AV16</x:f>
        <x:v>Profil paie à compléter</x:v>
      </x:c>
    </x:row>
    <x:row r="17">
      <x:c r="A17" t="str">
        <x:v>payroll_lines</x:v>
      </x:c>
      <x:c r="B17" t="str">
        <x:f>Lot_paie!A17</x:f>
        <x:v>0046J</x:v>
      </x:c>
      <x:c r="C17" t="str">
        <x:f>Lot_paie!B17</x:f>
        <x:v>KOUADIO</x:v>
      </x:c>
      <x:c r="D17" t="str">
        <x:f>Lot_paie!C17</x:f>
        <x:v>Konan Emmanuel</x:v>
      </x:c>
      <x:c r="E17" t="str">
        <x:f>Lot_paie!D17</x:f>
        <x:v>Direction Administrative et Financière</x:v>
      </x:c>
      <x:c r="F17" t="str">
        <x:f>Lot_paie!E17</x:f>
        <x:v>DAF</x:v>
      </x:c>
      <x:c r="G17" t="str">
        <x:f>Lot_paie!F17</x:f>
        <x:v>Responsable des Ressources Humaines</x:v>
      </x:c>
      <x:c r="H17" t="str">
        <x:f>Lot_paie!H17</x:f>
        <x:v>Actif</x:v>
      </x:c>
      <x:c r="I17" s="42" t="n">
        <x:f>Lot_paie!I17</x:f>
        <x:v>43662</x:v>
      </x:c>
      <x:c r="J17" t="n">
        <x:f>Lot_paie!J17</x:f>
        <x:v>176011131367</x:v>
      </x:c>
      <x:c r="K17" s="50" t="n">
        <x:f>Lot_paie!K17</x:f>
        <x:v>0</x:v>
      </x:c>
      <x:c r="L17" s="50" t="n">
        <x:f>Lot_paie!L17</x:f>
        <x:v>0</x:v>
      </x:c>
      <x:c r="M17" s="50" t="n">
        <x:f>Lot_paie!M17</x:f>
        <x:v>1</x:v>
      </x:c>
      <x:c r="N17" s="50" t="n">
        <x:f>Lot_paie!AA17</x:f>
        <x:v>0</x:v>
      </x:c>
      <x:c r="O17" s="50" t="n">
        <x:f>Lot_paie!AG17</x:f>
        <x:v>0</x:v>
      </x:c>
      <x:c r="P17" s="50" t="n">
        <x:f>Lot_paie!AQ17</x:f>
        <x:v>0</x:v>
      </x:c>
      <x:c r="Q17" s="50" t="n">
        <x:f>Lot_paie!AT17</x:f>
        <x:v>0</x:v>
      </x:c>
      <x:c r="R17" s="50" t="n">
        <x:f>Lot_paie!AU17</x:f>
        <x:v>0</x:v>
      </x:c>
      <x:c r="S17" t="str">
        <x:f>Lot_paie!AV17</x:f>
        <x:v>Profil paie à compléter</x:v>
      </x:c>
    </x:row>
    <x:row r="18">
      <x:c r="A18" t="str">
        <x:v>payroll_lines</x:v>
      </x:c>
      <x:c r="B18" t="str">
        <x:f>Lot_paie!A18</x:f>
        <x:v>0062J</x:v>
      </x:c>
      <x:c r="C18" t="str">
        <x:f>Lot_paie!B18</x:f>
        <x:v>ACKUN</x:v>
      </x:c>
      <x:c r="D18" t="str">
        <x:f>Lot_paie!C18</x:f>
        <x:v>AGYEIWAA Leticia</x:v>
      </x:c>
      <x:c r="E18" t="str">
        <x:f>Lot_paie!D18</x:f>
        <x:v>Direction des Services aux Membres et des Programmes</x:v>
      </x:c>
      <x:c r="F18" t="str">
        <x:f>Lot_paie!E18</x:f>
        <x:v>DMS</x:v>
      </x:c>
      <x:c r="G18" t="str">
        <x:f>Lot_paie!F18</x:f>
        <x:v>Spécialiste en Genre Chargée de Développement des Membres</x:v>
      </x:c>
      <x:c r="H18" t="str">
        <x:f>Lot_paie!H18</x:f>
        <x:v>Actif</x:v>
      </x:c>
      <x:c r="I18" s="42" t="n">
        <x:f>Lot_paie!I18</x:f>
        <x:v>44211</x:v>
      </x:c>
      <x:c r="J18" t="n">
        <x:f>Lot_paie!J18</x:f>
        <x:v>202100064064</x:v>
      </x:c>
      <x:c r="K18" s="50" t="n">
        <x:f>Lot_paie!K18</x:f>
        <x:v>0</x:v>
      </x:c>
      <x:c r="L18" s="50" t="n">
        <x:f>Lot_paie!L18</x:f>
        <x:v>0</x:v>
      </x:c>
      <x:c r="M18" s="50" t="n">
        <x:f>Lot_paie!M18</x:f>
        <x:v>1</x:v>
      </x:c>
      <x:c r="N18" s="50" t="n">
        <x:f>Lot_paie!AA18</x:f>
        <x:v>0</x:v>
      </x:c>
      <x:c r="O18" s="50" t="n">
        <x:f>Lot_paie!AG18</x:f>
        <x:v>0</x:v>
      </x:c>
      <x:c r="P18" s="50" t="n">
        <x:f>Lot_paie!AQ18</x:f>
        <x:v>0</x:v>
      </x:c>
      <x:c r="Q18" s="50" t="n">
        <x:f>Lot_paie!AT18</x:f>
        <x:v>0</x:v>
      </x:c>
      <x:c r="R18" s="50" t="n">
        <x:f>Lot_paie!AU18</x:f>
        <x:v>0</x:v>
      </x:c>
      <x:c r="S18" t="str">
        <x:f>Lot_paie!AV18</x:f>
        <x:v>Profil paie à compléter</x:v>
      </x:c>
    </x:row>
    <x:row r="19">
      <x:c r="A19" t="str">
        <x:v>payroll_lines</x:v>
      </x:c>
      <x:c r="B19" t="str">
        <x:f>Lot_paie!A19</x:f>
        <x:v>0073D</x:v>
      </x:c>
      <x:c r="C19" t="str">
        <x:f>Lot_paie!B19</x:f>
        <x:v>COULIBALY BA</x:v>
      </x:c>
      <x:c r="D19" t="str">
        <x:f>Lot_paie!C19</x:f>
        <x:v>Mariame</x:v>
      </x:c>
      <x:c r="E19" t="str">
        <x:f>Lot_paie!D19</x:f>
        <x:v>Cabinet de la Direction Exécutive</x:v>
      </x:c>
      <x:c r="F19" t="str">
        <x:f>Lot_paie!E19</x:f>
        <x:v>Cabinet DEX</x:v>
      </x:c>
      <x:c r="G19" t="str">
        <x:f>Lot_paie!F19</x:f>
        <x:v>Assistante du Directeur Executif</x:v>
      </x:c>
      <x:c r="H19" t="str">
        <x:f>Lot_paie!H19</x:f>
        <x:v>Actif</x:v>
      </x:c>
      <x:c r="I19" s="42" t="n">
        <x:f>Lot_paie!I19</x:f>
        <x:v>44536</x:v>
      </x:c>
      <x:c r="J19" t="n">
        <x:f>Lot_paie!J19</x:f>
        <x:v>277010418099</x:v>
      </x:c>
      <x:c r="K19" s="50" t="n">
        <x:f>Lot_paie!K19</x:f>
        <x:v>0</x:v>
      </x:c>
      <x:c r="L19" s="50" t="n">
        <x:f>Lot_paie!L19</x:f>
        <x:v>0</x:v>
      </x:c>
      <x:c r="M19" s="50" t="n">
        <x:f>Lot_paie!M19</x:f>
        <x:v>1</x:v>
      </x:c>
      <x:c r="N19" s="50" t="n">
        <x:f>Lot_paie!AA19</x:f>
        <x:v>0</x:v>
      </x:c>
      <x:c r="O19" s="50" t="n">
        <x:f>Lot_paie!AG19</x:f>
        <x:v>0</x:v>
      </x:c>
      <x:c r="P19" s="50" t="n">
        <x:f>Lot_paie!AQ19</x:f>
        <x:v>0</x:v>
      </x:c>
      <x:c r="Q19" s="50" t="n">
        <x:f>Lot_paie!AT19</x:f>
        <x:v>0</x:v>
      </x:c>
      <x:c r="R19" s="50" t="n">
        <x:f>Lot_paie!AU19</x:f>
        <x:v>0</x:v>
      </x:c>
      <x:c r="S19" t="str">
        <x:f>Lot_paie!AV19</x:f>
        <x:v>Profil paie à compléter</x:v>
      </x:c>
    </x:row>
    <x:row r="20">
      <x:c r="A20" t="str">
        <x:v>payroll_lines</x:v>
      </x:c>
      <x:c r="B20" t="str">
        <x:f>Lot_paie!A20</x:f>
        <x:v>0074J</x:v>
      </x:c>
      <x:c r="C20" t="str">
        <x:f>Lot_paie!B20</x:f>
        <x:v>DIEZAHI</x:v>
      </x:c>
      <x:c r="D20" t="str">
        <x:f>Lot_paie!C20</x:f>
        <x:v>Dominique</x:v>
      </x:c>
      <x:c r="E20" t="str">
        <x:f>Lot_paie!D20</x:f>
        <x:v>Direction Administrative et Financière</x:v>
      </x:c>
      <x:c r="F20" t="str">
        <x:f>Lot_paie!E20</x:f>
        <x:v>DAF</x:v>
      </x:c>
      <x:c r="G20" t="str">
        <x:f>Lot_paie!F20</x:f>
        <x:v>Chauffeur Coursier</x:v>
      </x:c>
      <x:c r="H20" t="str">
        <x:f>Lot_paie!H20</x:f>
        <x:v>Actif</x:v>
      </x:c>
      <x:c r="I20" s="42" t="n">
        <x:f>Lot_paie!I20</x:f>
        <x:v>44562</x:v>
      </x:c>
      <x:c r="J20" t="n">
        <x:f>Lot_paie!J20</x:f>
        <x:v>172010138894</x:v>
      </x:c>
      <x:c r="K20" s="50" t="n">
        <x:f>Lot_paie!K20</x:f>
        <x:v>0</x:v>
      </x:c>
      <x:c r="L20" s="50" t="n">
        <x:f>Lot_paie!L20</x:f>
        <x:v>0</x:v>
      </x:c>
      <x:c r="M20" s="50" t="n">
        <x:f>Lot_paie!M20</x:f>
        <x:v>1</x:v>
      </x:c>
      <x:c r="N20" s="50" t="n">
        <x:f>Lot_paie!AA20</x:f>
        <x:v>0</x:v>
      </x:c>
      <x:c r="O20" s="50" t="n">
        <x:f>Lot_paie!AG20</x:f>
        <x:v>0</x:v>
      </x:c>
      <x:c r="P20" s="50" t="n">
        <x:f>Lot_paie!AQ20</x:f>
        <x:v>0</x:v>
      </x:c>
      <x:c r="Q20" s="50" t="n">
        <x:f>Lot_paie!AT20</x:f>
        <x:v>0</x:v>
      </x:c>
      <x:c r="R20" s="50" t="n">
        <x:f>Lot_paie!AU20</x:f>
        <x:v>0</x:v>
      </x:c>
      <x:c r="S20" t="str">
        <x:f>Lot_paie!AV20</x:f>
        <x:v>Profil paie à compléter</x:v>
      </x:c>
    </x:row>
    <x:row r="21">
      <x:c r="A21" t="str">
        <x:v>payroll_lines</x:v>
      </x:c>
      <x:c r="B21" t="str">
        <x:f>Lot_paie!A21</x:f>
        <x:v>0075J</x:v>
      </x:c>
      <x:c r="C21" t="str">
        <x:f>Lot_paie!B21</x:f>
        <x:v>MABIO</x:v>
      </x:c>
      <x:c r="D21" t="str">
        <x:f>Lot_paie!C21</x:f>
        <x:v>Olivier Franck De Sales</x:v>
      </x:c>
      <x:c r="E21" t="str">
        <x:f>Lot_paie!D21</x:f>
        <x:v>Direction Administrative et Financière</x:v>
      </x:c>
      <x:c r="F21" t="str">
        <x:f>Lot_paie!E21</x:f>
        <x:v>DAF</x:v>
      </x:c>
      <x:c r="G21" t="str">
        <x:f>Lot_paie!F21</x:f>
        <x:v>Assistant Comptabilité Générale</x:v>
      </x:c>
      <x:c r="H21" t="str">
        <x:f>Lot_paie!H21</x:f>
        <x:v>Actif</x:v>
      </x:c>
      <x:c r="I21" s="42" t="n">
        <x:f>Lot_paie!I21</x:f>
        <x:v>44562</x:v>
      </x:c>
      <x:c r="J21" t="n">
        <x:f>Lot_paie!J21</x:f>
        <x:v>202200051913</x:v>
      </x:c>
      <x:c r="K21" s="50" t="n">
        <x:f>Lot_paie!K21</x:f>
        <x:v>0</x:v>
      </x:c>
      <x:c r="L21" s="50" t="n">
        <x:f>Lot_paie!L21</x:f>
        <x:v>0</x:v>
      </x:c>
      <x:c r="M21" s="50" t="n">
        <x:f>Lot_paie!M21</x:f>
        <x:v>1</x:v>
      </x:c>
      <x:c r="N21" s="50" t="n">
        <x:f>Lot_paie!AA21</x:f>
        <x:v>0</x:v>
      </x:c>
      <x:c r="O21" s="50" t="n">
        <x:f>Lot_paie!AG21</x:f>
        <x:v>0</x:v>
      </x:c>
      <x:c r="P21" s="50" t="n">
        <x:f>Lot_paie!AQ21</x:f>
        <x:v>0</x:v>
      </x:c>
      <x:c r="Q21" s="50" t="n">
        <x:f>Lot_paie!AT21</x:f>
        <x:v>0</x:v>
      </x:c>
      <x:c r="R21" s="50" t="n">
        <x:f>Lot_paie!AU21</x:f>
        <x:v>0</x:v>
      </x:c>
      <x:c r="S21" t="str">
        <x:f>Lot_paie!AV21</x:f>
        <x:v>Profil paie à compléter</x:v>
      </x:c>
    </x:row>
    <x:row r="22">
      <x:c r="A22" t="str">
        <x:v>payroll_lines</x:v>
      </x:c>
      <x:c r="B22" t="str">
        <x:f>Lot_paie!A22</x:f>
        <x:v>0076J</x:v>
      </x:c>
      <x:c r="C22" t="str">
        <x:f>Lot_paie!B22</x:f>
        <x:v>GUEU</x:v>
      </x:c>
      <x:c r="D22" t="str">
        <x:f>Lot_paie!C22</x:f>
        <x:v>Aman Edwige</x:v>
      </x:c>
      <x:c r="E22" t="str">
        <x:f>Lot_paie!D22</x:f>
        <x:v>Direction Administrative et Financière</x:v>
      </x:c>
      <x:c r="F22" t="str">
        <x:f>Lot_paie!E22</x:f>
        <x:v>DAF</x:v>
      </x:c>
      <x:c r="G22" t="str">
        <x:f>Lot_paie!F22</x:f>
        <x:v>Assistante Comptabilité-Trésorerie</x:v>
      </x:c>
      <x:c r="H22" t="str">
        <x:f>Lot_paie!H22</x:f>
        <x:v>Actif</x:v>
      </x:c>
      <x:c r="I22" s="42" t="n">
        <x:f>Lot_paie!I22</x:f>
        <x:v>44562</x:v>
      </x:c>
      <x:c r="J22" t="n">
        <x:f>Lot_paie!J22</x:f>
        <x:v>202200053099</x:v>
      </x:c>
      <x:c r="K22" s="50" t="n">
        <x:f>Lot_paie!K22</x:f>
        <x:v>0</x:v>
      </x:c>
      <x:c r="L22" s="50" t="n">
        <x:f>Lot_paie!L22</x:f>
        <x:v>0</x:v>
      </x:c>
      <x:c r="M22" s="50" t="n">
        <x:f>Lot_paie!M22</x:f>
        <x:v>1</x:v>
      </x:c>
      <x:c r="N22" s="50" t="n">
        <x:f>Lot_paie!AA22</x:f>
        <x:v>0</x:v>
      </x:c>
      <x:c r="O22" s="50" t="n">
        <x:f>Lot_paie!AG22</x:f>
        <x:v>0</x:v>
      </x:c>
      <x:c r="P22" s="50" t="n">
        <x:f>Lot_paie!AQ22</x:f>
        <x:v>0</x:v>
      </x:c>
      <x:c r="Q22" s="50" t="n">
        <x:f>Lot_paie!AT22</x:f>
        <x:v>0</x:v>
      </x:c>
      <x:c r="R22" s="50" t="n">
        <x:f>Lot_paie!AU22</x:f>
        <x:v>0</x:v>
      </x:c>
      <x:c r="S22" t="str">
        <x:f>Lot_paie!AV22</x:f>
        <x:v>Profil paie à compléter</x:v>
      </x:c>
    </x:row>
    <x:row r="23">
      <x:c r="A23" t="str">
        <x:v>payroll_lines</x:v>
      </x:c>
      <x:c r="B23" t="str">
        <x:f>Lot_paie!A23</x:f>
        <x:v>0078M</x:v>
      </x:c>
      <x:c r="C23" t="str">
        <x:f>Lot_paie!B23</x:f>
        <x:v>UMUTANGAMPUNDU</x:v>
      </x:c>
      <x:c r="D23" t="str">
        <x:f>Lot_paie!C23</x:f>
        <x:v>Djalia</x:v>
      </x:c>
      <x:c r="E23" t="str">
        <x:f>Lot_paie!D23</x:f>
        <x:v>Direction des Services aux Membres et des Programmes</x:v>
      </x:c>
      <x:c r="F23" t="str">
        <x:f>Lot_paie!E23</x:f>
        <x:v>DP</x:v>
      </x:c>
      <x:c r="G23" t="str">
        <x:f>Lot_paie!F23</x:f>
        <x:v>Chargé Technique des Programmes</x:v>
      </x:c>
      <x:c r="H23" t="str">
        <x:f>Lot_paie!H23</x:f>
        <x:v>Actif</x:v>
      </x:c>
      <x:c r="I23" s="42" t="n">
        <x:f>Lot_paie!I23</x:f>
        <x:v>44622</x:v>
      </x:c>
      <x:c r="J23" t="n">
        <x:f>Lot_paie!J23</x:f>
        <x:v>202200057023</x:v>
      </x:c>
      <x:c r="K23" s="50" t="n">
        <x:f>Lot_paie!K23</x:f>
        <x:v>0</x:v>
      </x:c>
      <x:c r="L23" s="50" t="n">
        <x:f>Lot_paie!L23</x:f>
        <x:v>0</x:v>
      </x:c>
      <x:c r="M23" s="50" t="n">
        <x:f>Lot_paie!M23</x:f>
        <x:v>1</x:v>
      </x:c>
      <x:c r="N23" s="50" t="n">
        <x:f>Lot_paie!AA23</x:f>
        <x:v>0</x:v>
      </x:c>
      <x:c r="O23" s="50" t="n">
        <x:f>Lot_paie!AG23</x:f>
        <x:v>0</x:v>
      </x:c>
      <x:c r="P23" s="50" t="n">
        <x:f>Lot_paie!AQ23</x:f>
        <x:v>0</x:v>
      </x:c>
      <x:c r="Q23" s="50" t="n">
        <x:f>Lot_paie!AT23</x:f>
        <x:v>0</x:v>
      </x:c>
      <x:c r="R23" s="50" t="n">
        <x:f>Lot_paie!AU23</x:f>
        <x:v>0</x:v>
      </x:c>
      <x:c r="S23" t="str">
        <x:f>Lot_paie!AV23</x:f>
        <x:v>Profil paie à compléter</x:v>
      </x:c>
    </x:row>
    <x:row r="24">
      <x:c r="A24" t="str">
        <x:v>payroll_lines</x:v>
      </x:c>
      <x:c r="B24" t="str">
        <x:f>Lot_paie!A24</x:f>
        <x:v>0079M</x:v>
      </x:c>
      <x:c r="C24" t="str">
        <x:f>Lot_paie!B24</x:f>
        <x:v>GOULI</x:v>
      </x:c>
      <x:c r="D24" t="str">
        <x:f>Lot_paie!C24</x:f>
        <x:v>Tanh Judicaël</x:v>
      </x:c>
      <x:c r="E24" t="str">
        <x:f>Lot_paie!D24</x:f>
        <x:v>Direction Administrative et Financière</x:v>
      </x:c>
      <x:c r="F24" t="str">
        <x:f>Lot_paie!E24</x:f>
        <x:v>DAF</x:v>
      </x:c>
      <x:c r="G24" t="str">
        <x:f>Lot_paie!F24</x:f>
        <x:v>Assistant TIC</x:v>
      </x:c>
      <x:c r="H24" t="str">
        <x:f>Lot_paie!H24</x:f>
        <x:v>Actif</x:v>
      </x:c>
      <x:c r="I24" s="42" t="n">
        <x:f>Lot_paie!I24</x:f>
        <x:v>44628</x:v>
      </x:c>
      <x:c r="J24" t="n">
        <x:f>Lot_paie!J24</x:f>
        <x:v>191011778898</x:v>
      </x:c>
      <x:c r="K24" s="50" t="n">
        <x:f>Lot_paie!K24</x:f>
        <x:v>0</x:v>
      </x:c>
      <x:c r="L24" s="50" t="n">
        <x:f>Lot_paie!L24</x:f>
        <x:v>0</x:v>
      </x:c>
      <x:c r="M24" s="50" t="n">
        <x:f>Lot_paie!M24</x:f>
        <x:v>1</x:v>
      </x:c>
      <x:c r="N24" s="50" t="n">
        <x:f>Lot_paie!AA24</x:f>
        <x:v>0</x:v>
      </x:c>
      <x:c r="O24" s="50" t="n">
        <x:f>Lot_paie!AG24</x:f>
        <x:v>0</x:v>
      </x:c>
      <x:c r="P24" s="50" t="n">
        <x:f>Lot_paie!AQ24</x:f>
        <x:v>0</x:v>
      </x:c>
      <x:c r="Q24" s="50" t="n">
        <x:f>Lot_paie!AT24</x:f>
        <x:v>0</x:v>
      </x:c>
      <x:c r="R24" s="50" t="n">
        <x:f>Lot_paie!AU24</x:f>
        <x:v>0</x:v>
      </x:c>
      <x:c r="S24" t="str">
        <x:f>Lot_paie!AV24</x:f>
        <x:v>Profil paie à compléter</x:v>
      </x:c>
    </x:row>
    <x:row r="25">
      <x:c r="A25" t="str">
        <x:v>payroll_lines</x:v>
      </x:c>
      <x:c r="B25" t="str">
        <x:f>Lot_paie!A25</x:f>
        <x:v>0081A</x:v>
      </x:c>
      <x:c r="C25" t="str">
        <x:f>Lot_paie!B25</x:f>
        <x:v>SECK</x:v>
      </x:c>
      <x:c r="D25" t="str">
        <x:f>Lot_paie!C25</x:f>
        <x:v>Moussa</x:v>
      </x:c>
      <x:c r="E25" t="str">
        <x:f>Lot_paie!D25</x:f>
        <x:v>Direction des Services aux Membres et des Programmes</x:v>
      </x:c>
      <x:c r="F25" t="str">
        <x:f>Lot_paie!E25</x:f>
        <x:v>DMS</x:v>
      </x:c>
      <x:c r="G25" t="str">
        <x:f>Lot_paie!F25</x:f>
        <x:v>Directeur des Services aux Membres</x:v>
      </x:c>
      <x:c r="H25" t="str">
        <x:f>Lot_paie!H25</x:f>
        <x:v>Actif</x:v>
      </x:c>
      <x:c r="I25" s="42" t="n">
        <x:f>Lot_paie!I25</x:f>
        <x:v>44774</x:v>
      </x:c>
      <x:c r="J25" t="n">
        <x:f>Lot_paie!J25</x:f>
        <x:v>202200074906</x:v>
      </x:c>
      <x:c r="K25" s="50" t="n">
        <x:f>Lot_paie!K25</x:f>
        <x:v>0</x:v>
      </x:c>
      <x:c r="L25" s="50" t="n">
        <x:f>Lot_paie!L25</x:f>
        <x:v>0</x:v>
      </x:c>
      <x:c r="M25" s="50" t="n">
        <x:f>Lot_paie!M25</x:f>
        <x:v>1</x:v>
      </x:c>
      <x:c r="N25" s="50" t="n">
        <x:f>Lot_paie!AA25</x:f>
        <x:v>0</x:v>
      </x:c>
      <x:c r="O25" s="50" t="n">
        <x:f>Lot_paie!AG25</x:f>
        <x:v>0</x:v>
      </x:c>
      <x:c r="P25" s="50" t="n">
        <x:f>Lot_paie!AQ25</x:f>
        <x:v>0</x:v>
      </x:c>
      <x:c r="Q25" s="50" t="n">
        <x:f>Lot_paie!AT25</x:f>
        <x:v>0</x:v>
      </x:c>
      <x:c r="R25" s="50" t="n">
        <x:f>Lot_paie!AU25</x:f>
        <x:v>0</x:v>
      </x:c>
      <x:c r="S25" t="str">
        <x:f>Lot_paie!AV25</x:f>
        <x:v>Profil paie à compléter</x:v>
      </x:c>
    </x:row>
    <x:row r="26">
      <x:c r="A26" t="str">
        <x:v>payroll_lines</x:v>
      </x:c>
      <x:c r="B26" t="str">
        <x:f>Lot_paie!A26</x:f>
        <x:v>0000Z</x:v>
      </x:c>
      <x:c r="C26" t="str">
        <x:f>Lot_paie!B26</x:f>
        <x:v>KANGA</x:v>
      </x:c>
      <x:c r="D26" t="str">
        <x:f>Lot_paie!C26</x:f>
        <x:v>Kouamé Alexandre</x:v>
      </x:c>
      <x:c r="E26" t="str">
        <x:f>Lot_paie!D26</x:f>
        <x:v>Cabinet de la Direction Exécutive</x:v>
      </x:c>
      <x:c r="F26" t="str">
        <x:f>Lot_paie!E26</x:f>
        <x:v>Cabinet DEX</x:v>
      </x:c>
      <x:c r="G26" t="str">
        <x:f>Lot_paie!F26</x:f>
        <x:v>Responsable Données et Stratégies</x:v>
      </x:c>
      <x:c r="H26" t="str">
        <x:f>Lot_paie!H26</x:f>
        <x:v>Actif</x:v>
      </x:c>
      <x:c r="I26" s="42" t="n">
        <x:f>Lot_paie!I26</x:f>
        <x:v>44896</x:v>
      </x:c>
      <x:c r="J26" t="n">
        <x:f>Lot_paie!J26</x:f>
        <x:v>183011531120</x:v>
      </x:c>
      <x:c r="K26" s="50" t="n">
        <x:f>Lot_paie!K26</x:f>
        <x:v>176701</x:v>
      </x:c>
      <x:c r="L26" s="50" t="n">
        <x:f>Lot_paie!L26</x:f>
        <x:v>769549</x:v>
      </x:c>
      <x:c r="M26" s="50" t="n">
        <x:f>Lot_paie!M26</x:f>
        <x:v>2</x:v>
      </x:c>
      <x:c r="N26" s="50" t="n">
        <x:f>Lot_paie!AA26</x:f>
        <x:v>949784</x:v>
      </x:c>
      <x:c r="O26" s="50" t="n">
        <x:f>Lot_paie!AG26</x:f>
        <x:v>229784</x:v>
      </x:c>
      <x:c r="P26" s="50" t="n">
        <x:f>Lot_paie!AQ26</x:f>
        <x:v>106540</x:v>
      </x:c>
      <x:c r="Q26" s="50" t="n">
        <x:f>Lot_paie!AT26</x:f>
        <x:v>750000</x:v>
      </x:c>
      <x:c r="R26" s="50" t="n">
        <x:f>Lot_paie!AU26</x:f>
        <x:v>1086324</x:v>
      </x:c>
      <x:c r="S26" t="str">
        <x:f>Lot_paie!AV26</x:f>
        <x:v>OK</x:v>
      </x:c>
    </x:row>
    <x:row r="27">
      <x:c r="A27" t="str">
        <x:v>payroll_lines</x:v>
      </x:c>
      <x:c r="B27" t="str">
        <x:f>Lot_paie!A27</x:f>
        <x:v>0088F</x:v>
      </x:c>
      <x:c r="C27" t="str">
        <x:f>Lot_paie!B27</x:f>
        <x:v>LAWSON</x:v>
      </x:c>
      <x:c r="D27" t="str">
        <x:f>Lot_paie!C27</x:f>
        <x:v>Micheline</x:v>
      </x:c>
      <x:c r="E27" t="str">
        <x:f>Lot_paie!D27</x:f>
        <x:v>Direction des Services aux Membres et des Programmes</x:v>
      </x:c>
      <x:c r="F27" t="str">
        <x:f>Lot_paie!E27</x:f>
        <x:v>DMS</x:v>
      </x:c>
      <x:c r="G27" t="str">
        <x:f>Lot_paie!F27</x:f>
        <x:v>Responsable Evènementiel &amp; Marketing</x:v>
      </x:c>
      <x:c r="H27" t="str">
        <x:f>Lot_paie!H27</x:f>
        <x:v>Actif</x:v>
      </x:c>
      <x:c r="I27" s="42" t="n">
        <x:f>Lot_paie!I27</x:f>
        <x:v>44958</x:v>
      </x:c>
      <x:c r="J27" t="n">
        <x:f>Lot_paie!J27</x:f>
        <x:v>202300054873</x:v>
      </x:c>
      <x:c r="K27" s="50" t="n">
        <x:f>Lot_paie!K27</x:f>
        <x:v>0</x:v>
      </x:c>
      <x:c r="L27" s="50" t="n">
        <x:f>Lot_paie!L27</x:f>
        <x:v>0</x:v>
      </x:c>
      <x:c r="M27" s="50" t="n">
        <x:f>Lot_paie!M27</x:f>
        <x:v>1</x:v>
      </x:c>
      <x:c r="N27" s="50" t="n">
        <x:f>Lot_paie!AA27</x:f>
        <x:v>0</x:v>
      </x:c>
      <x:c r="O27" s="50" t="n">
        <x:f>Lot_paie!AG27</x:f>
        <x:v>0</x:v>
      </x:c>
      <x:c r="P27" s="50" t="n">
        <x:f>Lot_paie!AQ27</x:f>
        <x:v>0</x:v>
      </x:c>
      <x:c r="Q27" s="50" t="n">
        <x:f>Lot_paie!AT27</x:f>
        <x:v>0</x:v>
      </x:c>
      <x:c r="R27" s="50" t="n">
        <x:f>Lot_paie!AU27</x:f>
        <x:v>0</x:v>
      </x:c>
      <x:c r="S27" t="str">
        <x:f>Lot_paie!AV27</x:f>
        <x:v>Profil paie à compléter</x:v>
      </x:c>
    </x:row>
    <x:row r="28">
      <x:c r="A28" t="str">
        <x:v>payroll_lines</x:v>
      </x:c>
      <x:c r="B28" t="str">
        <x:f>Lot_paie!A28</x:f>
        <x:v>0094M</x:v>
      </x:c>
      <x:c r="C28" t="str">
        <x:f>Lot_paie!B28</x:f>
        <x:v>KANGA</x:v>
      </x:c>
      <x:c r="D28" t="str">
        <x:f>Lot_paie!C28</x:f>
        <x:v>Bénédicte Ahou</x:v>
      </x:c>
      <x:c r="E28" t="str">
        <x:f>Lot_paie!D28</x:f>
        <x:v>Direction des Services aux Membres et des Programmes</x:v>
      </x:c>
      <x:c r="F28" t="str">
        <x:f>Lot_paie!E28</x:f>
        <x:v>DP</x:v>
      </x:c>
      <x:c r="G28" t="str">
        <x:f>Lot_paie!F28</x:f>
        <x:v>Assistante Directions des Programmes</x:v>
      </x:c>
      <x:c r="H28" t="str">
        <x:f>Lot_paie!H28</x:f>
        <x:v>Actif</x:v>
      </x:c>
      <x:c r="I28" s="42" t="n">
        <x:f>Lot_paie!I28</x:f>
        <x:v>45061</x:v>
      </x:c>
      <x:c r="J28" t="str">
        <x:f>Lot_paie!J28</x:f>
      </x:c>
      <x:c r="K28" s="50" t="n">
        <x:f>Lot_paie!K28</x:f>
        <x:v>0</x:v>
      </x:c>
      <x:c r="L28" s="50" t="n">
        <x:f>Lot_paie!L28</x:f>
        <x:v>0</x:v>
      </x:c>
      <x:c r="M28" s="50" t="n">
        <x:f>Lot_paie!M28</x:f>
        <x:v>1</x:v>
      </x:c>
      <x:c r="N28" s="50" t="n">
        <x:f>Lot_paie!AA28</x:f>
        <x:v>0</x:v>
      </x:c>
      <x:c r="O28" s="50" t="n">
        <x:f>Lot_paie!AG28</x:f>
        <x:v>0</x:v>
      </x:c>
      <x:c r="P28" s="50" t="n">
        <x:f>Lot_paie!AQ28</x:f>
        <x:v>0</x:v>
      </x:c>
      <x:c r="Q28" s="50" t="n">
        <x:f>Lot_paie!AT28</x:f>
        <x:v>0</x:v>
      </x:c>
      <x:c r="R28" s="50" t="n">
        <x:f>Lot_paie!AU28</x:f>
        <x:v>0</x:v>
      </x:c>
      <x:c r="S28" t="str">
        <x:f>Lot_paie!AV28</x:f>
        <x:v>Profil paie à compléter</x:v>
      </x:c>
    </x:row>
    <x:row r="29">
      <x:c r="A29" t="str">
        <x:v>payroll_lines</x:v>
      </x:c>
      <x:c r="B29" t="str">
        <x:f>Lot_paie!A29</x:f>
        <x:v>0096A</x:v>
      </x:c>
      <x:c r="C29" t="str">
        <x:f>Lot_paie!B29</x:f>
        <x:v>FADIGA</x:v>
      </x:c>
      <x:c r="D29" t="str">
        <x:f>Lot_paie!C29</x:f>
        <x:v>Aboulaye</x:v>
      </x:c>
      <x:c r="E29" t="str">
        <x:f>Lot_paie!D29</x:f>
        <x:v>Direction Administrative et Financière</x:v>
      </x:c>
      <x:c r="F29" t="str">
        <x:f>Lot_paie!E29</x:f>
        <x:v>DAF</x:v>
      </x:c>
      <x:c r="G29" t="str">
        <x:f>Lot_paie!F29</x:f>
        <x:v>Assistant Achats</x:v>
      </x:c>
      <x:c r="H29" t="str">
        <x:f>Lot_paie!H29</x:f>
        <x:v>Actif</x:v>
      </x:c>
      <x:c r="I29" s="42" t="n">
        <x:f>Lot_paie!I29</x:f>
        <x:v>45139</x:v>
      </x:c>
      <x:c r="J29" t="n">
        <x:f>Lot_paie!J29</x:f>
        <x:v>186011269150</x:v>
      </x:c>
      <x:c r="K29" s="50" t="n">
        <x:f>Lot_paie!K29</x:f>
        <x:v>0</x:v>
      </x:c>
      <x:c r="L29" s="50" t="n">
        <x:f>Lot_paie!L29</x:f>
        <x:v>0</x:v>
      </x:c>
      <x:c r="M29" s="50" t="n">
        <x:f>Lot_paie!M29</x:f>
        <x:v>1</x:v>
      </x:c>
      <x:c r="N29" s="50" t="n">
        <x:f>Lot_paie!AA29</x:f>
        <x:v>0</x:v>
      </x:c>
      <x:c r="O29" s="50" t="n">
        <x:f>Lot_paie!AG29</x:f>
        <x:v>0</x:v>
      </x:c>
      <x:c r="P29" s="50" t="n">
        <x:f>Lot_paie!AQ29</x:f>
        <x:v>0</x:v>
      </x:c>
      <x:c r="Q29" s="50" t="n">
        <x:f>Lot_paie!AT29</x:f>
        <x:v>0</x:v>
      </x:c>
      <x:c r="R29" s="50" t="n">
        <x:f>Lot_paie!AU29</x:f>
        <x:v>0</x:v>
      </x:c>
      <x:c r="S29" t="str">
        <x:f>Lot_paie!AV29</x:f>
        <x:v>Profil paie à compléter</x:v>
      </x:c>
    </x:row>
    <x:row r="30">
      <x:c r="A30" t="str">
        <x:v>payroll_lines</x:v>
      </x:c>
      <x:c r="B30" t="str">
        <x:f>Lot_paie!A30</x:f>
        <x:v>0098S</x:v>
      </x:c>
      <x:c r="C30" t="str">
        <x:f>Lot_paie!B30</x:f>
        <x:v>MUSIIME</x:v>
      </x:c>
      <x:c r="D30" t="str">
        <x:f>Lot_paie!C30</x:f>
        <x:v>Julian</x:v>
      </x:c>
      <x:c r="E30" t="str">
        <x:f>Lot_paie!D30</x:f>
        <x:v>Direction des Services aux Membres et des Programmes</x:v>
      </x:c>
      <x:c r="F30" t="str">
        <x:f>Lot_paie!E30</x:f>
        <x:v>DP</x:v>
      </x:c>
      <x:c r="G30" t="str">
        <x:f>Lot_paie!F30</x:f>
        <x:v>Chargée de Programme Assainissement</x:v>
      </x:c>
      <x:c r="H30" t="str">
        <x:f>Lot_paie!H30</x:f>
        <x:v>Actif</x:v>
      </x:c>
      <x:c r="I30" s="42" t="n">
        <x:f>Lot_paie!I30</x:f>
        <x:v>45170</x:v>
      </x:c>
      <x:c r="J30" t="n">
        <x:f>Lot_paie!J30</x:f>
        <x:v>202300121456</x:v>
      </x:c>
      <x:c r="K30" s="50" t="n">
        <x:f>Lot_paie!K30</x:f>
        <x:v>0</x:v>
      </x:c>
      <x:c r="L30" s="50" t="n">
        <x:f>Lot_paie!L30</x:f>
        <x:v>0</x:v>
      </x:c>
      <x:c r="M30" s="50" t="n">
        <x:f>Lot_paie!M30</x:f>
        <x:v>1</x:v>
      </x:c>
      <x:c r="N30" s="50" t="n">
        <x:f>Lot_paie!AA30</x:f>
        <x:v>0</x:v>
      </x:c>
      <x:c r="O30" s="50" t="n">
        <x:f>Lot_paie!AG30</x:f>
        <x:v>0</x:v>
      </x:c>
      <x:c r="P30" s="50" t="n">
        <x:f>Lot_paie!AQ30</x:f>
        <x:v>0</x:v>
      </x:c>
      <x:c r="Q30" s="50" t="n">
        <x:f>Lot_paie!AT30</x:f>
        <x:v>0</x:v>
      </x:c>
      <x:c r="R30" s="50" t="n">
        <x:f>Lot_paie!AU30</x:f>
        <x:v>0</x:v>
      </x:c>
      <x:c r="S30" t="str">
        <x:f>Lot_paie!AV30</x:f>
        <x:v>Profil paie à compléter</x:v>
      </x:c>
    </x:row>
    <x:row r="31">
      <x:c r="A31" t="str">
        <x:v>payroll_lines</x:v>
      </x:c>
      <x:c r="B31" t="str">
        <x:f>Lot_paie!A31</x:f>
        <x:v>0099O</x:v>
      </x:c>
      <x:c r="C31" t="str">
        <x:f>Lot_paie!B31</x:f>
        <x:v>KOUASSI</x:v>
      </x:c>
      <x:c r="D31" t="str">
        <x:f>Lot_paie!C31</x:f>
        <x:v>Hemez Ange Aurelien</x:v>
      </x:c>
      <x:c r="E31" t="str">
        <x:f>Lot_paie!D31</x:f>
        <x:v>Direction des Services aux Membres et des Programmes</x:v>
      </x:c>
      <x:c r="F31" t="str">
        <x:f>Lot_paie!E31</x:f>
        <x:v>DP</x:v>
      </x:c>
      <x:c r="G31" t="str">
        <x:f>Lot_paie!F31</x:f>
        <x:v>Chargé de Programme Eau en Milieu Rural</x:v>
      </x:c>
      <x:c r="H31" t="str">
        <x:f>Lot_paie!H31</x:f>
        <x:v>Actif</x:v>
      </x:c>
      <x:c r="I31" s="42" t="n">
        <x:f>Lot_paie!I31</x:f>
        <x:v>45224</x:v>
      </x:c>
      <x:c r="J31" t="n">
        <x:f>Lot_paie!J31</x:f>
        <x:v>202300133194</x:v>
      </x:c>
      <x:c r="K31" s="50" t="n">
        <x:f>Lot_paie!K31</x:f>
        <x:v>0</x:v>
      </x:c>
      <x:c r="L31" s="50" t="n">
        <x:f>Lot_paie!L31</x:f>
        <x:v>0</x:v>
      </x:c>
      <x:c r="M31" s="50" t="n">
        <x:f>Lot_paie!M31</x:f>
        <x:v>1</x:v>
      </x:c>
      <x:c r="N31" s="50" t="n">
        <x:f>Lot_paie!AA31</x:f>
        <x:v>0</x:v>
      </x:c>
      <x:c r="O31" s="50" t="n">
        <x:f>Lot_paie!AG31</x:f>
        <x:v>0</x:v>
      </x:c>
      <x:c r="P31" s="50" t="n">
        <x:f>Lot_paie!AQ31</x:f>
        <x:v>0</x:v>
      </x:c>
      <x:c r="Q31" s="50" t="n">
        <x:f>Lot_paie!AT31</x:f>
        <x:v>0</x:v>
      </x:c>
      <x:c r="R31" s="50" t="n">
        <x:f>Lot_paie!AU31</x:f>
        <x:v>0</x:v>
      </x:c>
      <x:c r="S31" t="str">
        <x:f>Lot_paie!AV31</x:f>
        <x:v>Profil paie à compléter</x:v>
      </x:c>
    </x:row>
    <x:row r="32">
      <x:c r="A32" t="str">
        <x:v>payroll_lines</x:v>
      </x:c>
      <x:c r="B32" t="str">
        <x:f>Lot_paie!A32</x:f>
        <x:v>0104F</x:v>
      </x:c>
      <x:c r="C32" t="str">
        <x:f>Lot_paie!B32</x:f>
        <x:v>N'DOUA</x:v>
      </x:c>
      <x:c r="D32" t="str">
        <x:f>Lot_paie!C32</x:f>
        <x:v>Kamenan Jean</x:v>
      </x:c>
      <x:c r="E32" t="str">
        <x:f>Lot_paie!D32</x:f>
        <x:v>Cabinet de la Direction Exécutive</x:v>
      </x:c>
      <x:c r="F32" t="str">
        <x:f>Lot_paie!E32</x:f>
        <x:v>Cabinet DEX</x:v>
      </x:c>
      <x:c r="G32" t="str">
        <x:f>Lot_paie!F32</x:f>
        <x:v>Assistant Communication et Infographie</x:v>
      </x:c>
      <x:c r="H32" t="str">
        <x:f>Lot_paie!H32</x:f>
        <x:v>Actif</x:v>
      </x:c>
      <x:c r="I32" s="42" t="n">
        <x:f>Lot_paie!I32</x:f>
        <x:v>45343</x:v>
      </x:c>
      <x:c r="J32" t="n">
        <x:f>Lot_paie!J32</x:f>
        <x:v>187011222043</x:v>
      </x:c>
      <x:c r="K32" s="50" t="n">
        <x:f>Lot_paie!K32</x:f>
        <x:v>0</x:v>
      </x:c>
      <x:c r="L32" s="50" t="n">
        <x:f>Lot_paie!L32</x:f>
        <x:v>0</x:v>
      </x:c>
      <x:c r="M32" s="50" t="n">
        <x:f>Lot_paie!M32</x:f>
        <x:v>1</x:v>
      </x:c>
      <x:c r="N32" s="50" t="n">
        <x:f>Lot_paie!AA32</x:f>
        <x:v>0</x:v>
      </x:c>
      <x:c r="O32" s="50" t="n">
        <x:f>Lot_paie!AG32</x:f>
        <x:v>0</x:v>
      </x:c>
      <x:c r="P32" s="50" t="n">
        <x:f>Lot_paie!AQ32</x:f>
        <x:v>0</x:v>
      </x:c>
      <x:c r="Q32" s="50" t="n">
        <x:f>Lot_paie!AT32</x:f>
        <x:v>0</x:v>
      </x:c>
      <x:c r="R32" s="50" t="n">
        <x:f>Lot_paie!AU32</x:f>
        <x:v>0</x:v>
      </x:c>
      <x:c r="S32" t="str">
        <x:f>Lot_paie!AV32</x:f>
        <x:v>Profil paie à compléter</x:v>
      </x:c>
    </x:row>
    <x:row r="33">
      <x:c r="A33" t="str">
        <x:v>payroll_lines</x:v>
      </x:c>
      <x:c r="B33" t="str">
        <x:f>Lot_paie!A33</x:f>
        <x:v>0106J</x:v>
      </x:c>
      <x:c r="C33" t="str">
        <x:f>Lot_paie!B33</x:f>
        <x:v>ELOUNDOU</x:v>
      </x:c>
      <x:c r="D33" t="str">
        <x:f>Lot_paie!C33</x:f>
        <x:v>Elvis Bertrand</x:v>
      </x:c>
      <x:c r="E33" t="str">
        <x:f>Lot_paie!D33</x:f>
        <x:v>Direction des Services aux Membres et des Programmes</x:v>
      </x:c>
      <x:c r="F33" t="str">
        <x:f>Lot_paie!E33</x:f>
        <x:v>DP</x:v>
      </x:c>
      <x:c r="G33" t="str">
        <x:f>Lot_paie!F33</x:f>
        <x:v>Spécialiste GPC</x:v>
      </x:c>
      <x:c r="H33" t="str">
        <x:f>Lot_paie!H33</x:f>
        <x:v>Licencié</x:v>
      </x:c>
      <x:c r="I33" s="42" t="n">
        <x:f>Lot_paie!I33</x:f>
        <x:v>45453</x:v>
      </x:c>
      <x:c r="J33" t="n">
        <x:f>Lot_paie!J33</x:f>
        <x:v>202400074775</x:v>
      </x:c>
      <x:c r="K33" s="50" t="n">
        <x:f>Lot_paie!K33</x:f>
        <x:v>0</x:v>
      </x:c>
      <x:c r="L33" s="50" t="n">
        <x:f>Lot_paie!L33</x:f>
        <x:v>0</x:v>
      </x:c>
      <x:c r="M33" s="50" t="n">
        <x:f>Lot_paie!M33</x:f>
        <x:v>1</x:v>
      </x:c>
      <x:c r="N33" s="50" t="n">
        <x:f>Lot_paie!AA33</x:f>
        <x:v>0</x:v>
      </x:c>
      <x:c r="O33" s="50" t="n">
        <x:f>Lot_paie!AG33</x:f>
        <x:v>0</x:v>
      </x:c>
      <x:c r="P33" s="50" t="n">
        <x:f>Lot_paie!AQ33</x:f>
        <x:v>0</x:v>
      </x:c>
      <x:c r="Q33" s="50" t="n">
        <x:f>Lot_paie!AT33</x:f>
        <x:v>0</x:v>
      </x:c>
      <x:c r="R33" s="50" t="n">
        <x:f>Lot_paie!AU33</x:f>
        <x:v>0</x:v>
      </x:c>
      <x:c r="S33" t="str">
        <x:f>Lot_paie!AV33</x:f>
        <x:v>Inactif/à vérifier</x:v>
      </x:c>
    </x:row>
    <x:row r="34">
      <x:c r="A34" t="str">
        <x:v>payroll_lines</x:v>
      </x:c>
      <x:c r="B34" t="str">
        <x:f>Lot_paie!A34</x:f>
        <x:v>0107J</x:v>
      </x:c>
      <x:c r="C34" t="str">
        <x:f>Lot_paie!B34</x:f>
        <x:v>BAWA</x:v>
      </x:c>
      <x:c r="D34" t="str">
        <x:f>Lot_paie!C34</x:f>
        <x:v>Kitchnime Gotau</x:v>
      </x:c>
      <x:c r="E34" t="str">
        <x:f>Lot_paie!D34</x:f>
        <x:v>Direction des Services aux Membres et des Programmes</x:v>
      </x:c>
      <x:c r="F34" t="str">
        <x:f>Lot_paie!E34</x:f>
        <x:v>DP</x:v>
      </x:c>
      <x:c r="G34" t="str">
        <x:f>Lot_paie!F34</x:f>
        <x:v>Coordonnateur Programme PASAOS</x:v>
      </x:c>
      <x:c r="H34" t="str">
        <x:f>Lot_paie!H34</x:f>
        <x:v>Actif</x:v>
      </x:c>
      <x:c r="I34" s="42" t="n">
        <x:f>Lot_paie!I34</x:f>
        <x:v>45460</x:v>
      </x:c>
      <x:c r="J34" t="n">
        <x:f>Lot_paie!J34</x:f>
        <x:v>202400072233</x:v>
      </x:c>
      <x:c r="K34" s="50" t="n">
        <x:f>Lot_paie!K34</x:f>
        <x:v>0</x:v>
      </x:c>
      <x:c r="L34" s="50" t="n">
        <x:f>Lot_paie!L34</x:f>
        <x:v>0</x:v>
      </x:c>
      <x:c r="M34" s="50" t="n">
        <x:f>Lot_paie!M34</x:f>
        <x:v>1</x:v>
      </x:c>
      <x:c r="N34" s="50" t="n">
        <x:f>Lot_paie!AA34</x:f>
        <x:v>0</x:v>
      </x:c>
      <x:c r="O34" s="50" t="n">
        <x:f>Lot_paie!AG34</x:f>
        <x:v>0</x:v>
      </x:c>
      <x:c r="P34" s="50" t="n">
        <x:f>Lot_paie!AQ34</x:f>
        <x:v>0</x:v>
      </x:c>
      <x:c r="Q34" s="50" t="n">
        <x:f>Lot_paie!AT34</x:f>
        <x:v>0</x:v>
      </x:c>
      <x:c r="R34" s="50" t="n">
        <x:f>Lot_paie!AU34</x:f>
        <x:v>0</x:v>
      </x:c>
      <x:c r="S34" t="str">
        <x:f>Lot_paie!AV34</x:f>
        <x:v>Profil paie à compléter</x:v>
      </x:c>
    </x:row>
    <x:row r="35">
      <x:c r="A35" t="str">
        <x:v>payroll_lines</x:v>
      </x:c>
      <x:c r="B35" t="str">
        <x:f>Lot_paie!A35</x:f>
        <x:v>0108J</x:v>
      </x:c>
      <x:c r="C35" t="str">
        <x:f>Lot_paie!B35</x:f>
        <x:v>KOUAKOU</x:v>
      </x:c>
      <x:c r="D35" t="str">
        <x:f>Lot_paie!C35</x:f>
        <x:v>Theodora Hamoin Anna Henriette</x:v>
      </x:c>
      <x:c r="E35" t="str">
        <x:f>Lot_paie!D35</x:f>
        <x:v>Direction Administrative et Financière</x:v>
      </x:c>
      <x:c r="F35" t="str">
        <x:f>Lot_paie!E35</x:f>
        <x:v>DAF</x:v>
      </x:c>
      <x:c r="G35" t="str">
        <x:f>Lot_paie!F35</x:f>
        <x:v>Assistante Comptable PASAOS</x:v>
      </x:c>
      <x:c r="H35" t="str">
        <x:f>Lot_paie!H35</x:f>
        <x:v>Actif</x:v>
      </x:c>
      <x:c r="I35" s="42" t="n">
        <x:f>Lot_paie!I35</x:f>
        <x:v>45323</x:v>
      </x:c>
      <x:c r="J35" t="n">
        <x:f>Lot_paie!J35</x:f>
        <x:v>202400033589</x:v>
      </x:c>
      <x:c r="K35" s="50" t="n">
        <x:f>Lot_paie!K35</x:f>
        <x:v>0</x:v>
      </x:c>
      <x:c r="L35" s="50" t="n">
        <x:f>Lot_paie!L35</x:f>
        <x:v>0</x:v>
      </x:c>
      <x:c r="M35" s="50" t="n">
        <x:f>Lot_paie!M35</x:f>
        <x:v>1</x:v>
      </x:c>
      <x:c r="N35" s="50" t="n">
        <x:f>Lot_paie!AA35</x:f>
        <x:v>0</x:v>
      </x:c>
      <x:c r="O35" s="50" t="n">
        <x:f>Lot_paie!AG35</x:f>
        <x:v>0</x:v>
      </x:c>
      <x:c r="P35" s="50" t="n">
        <x:f>Lot_paie!AQ35</x:f>
        <x:v>0</x:v>
      </x:c>
      <x:c r="Q35" s="50" t="n">
        <x:f>Lot_paie!AT35</x:f>
        <x:v>0</x:v>
      </x:c>
      <x:c r="R35" s="50" t="n">
        <x:f>Lot_paie!AU35</x:f>
        <x:v>0</x:v>
      </x:c>
      <x:c r="S35" t="str">
        <x:f>Lot_paie!AV35</x:f>
        <x:v>Profil paie à compléter</x:v>
      </x:c>
    </x:row>
    <x:row r="36">
      <x:c r="A36" t="str">
        <x:v>payroll_lines</x:v>
      </x:c>
      <x:c r="B36" t="str">
        <x:f>Lot_paie!A36</x:f>
        <x:v>0111A</x:v>
      </x:c>
      <x:c r="C36" t="str">
        <x:f>Lot_paie!B36</x:f>
        <x:v>GOSSO</x:v>
      </x:c>
      <x:c r="D36" t="str">
        <x:f>Lot_paie!C36</x:f>
        <x:v>François Olivier</x:v>
      </x:c>
      <x:c r="E36" t="str">
        <x:f>Lot_paie!D36</x:f>
        <x:v>Cabinet de la Direction Exécutive</x:v>
      </x:c>
      <x:c r="F36" t="str">
        <x:f>Lot_paie!E36</x:f>
        <x:v>Cabinet DEX</x:v>
      </x:c>
      <x:c r="G36" t="str">
        <x:f>Lot_paie!F36</x:f>
        <x:v>Directeur Exécutif</x:v>
      </x:c>
      <x:c r="H36" t="str">
        <x:f>Lot_paie!H36</x:f>
        <x:v>Actif</x:v>
      </x:c>
      <x:c r="I36" s="42" t="n">
        <x:f>Lot_paie!I36</x:f>
        <x:v>45292</x:v>
      </x:c>
      <x:c r="J36" t="n">
        <x:f>Lot_paie!J36</x:f>
        <x:v>167019216419</x:v>
      </x:c>
      <x:c r="K36" s="50" t="n">
        <x:f>Lot_paie!K36</x:f>
        <x:v>0</x:v>
      </x:c>
      <x:c r="L36" s="50" t="n">
        <x:f>Lot_paie!L36</x:f>
        <x:v>0</x:v>
      </x:c>
      <x:c r="M36" s="50" t="n">
        <x:f>Lot_paie!M36</x:f>
        <x:v>1</x:v>
      </x:c>
      <x:c r="N36" s="50" t="n">
        <x:f>Lot_paie!AA36</x:f>
        <x:v>0</x:v>
      </x:c>
      <x:c r="O36" s="50" t="n">
        <x:f>Lot_paie!AG36</x:f>
        <x:v>0</x:v>
      </x:c>
      <x:c r="P36" s="50" t="n">
        <x:f>Lot_paie!AQ36</x:f>
        <x:v>0</x:v>
      </x:c>
      <x:c r="Q36" s="50" t="n">
        <x:f>Lot_paie!AT36</x:f>
        <x:v>0</x:v>
      </x:c>
      <x:c r="R36" s="50" t="n">
        <x:f>Lot_paie!AU36</x:f>
        <x:v>0</x:v>
      </x:c>
      <x:c r="S36" t="str">
        <x:f>Lot_paie!AV36</x:f>
        <x:v>Profil paie à compléter</x:v>
      </x:c>
    </x:row>
  </x:sheetData>
  <x:pageMargins left="0.7" right="0.7" top="0.75" bottom="0.75" header="0.3" footer="0.3"/>
  <x:tableParts count="1">
    <x:tablePart xmlns:r="http://schemas.openxmlformats.org/officeDocument/2006/relationships" r:id="R2e73d8d70ad94a1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8" hidden="0" customWidth="1"/>
    <x:col min="3" max="3" width="15" hidden="0" customWidth="1"/>
    <x:col min="4" max="4" width="15" hidden="0" customWidth="1"/>
    <x:col min="5" max="5" width="55" hidden="0" customWidth="1"/>
  </x:cols>
  <x:sheetData>
    <x:row r="1">
      <x:c r="A1" s="142" t="str">
        <x:v>CONTRÔLE QUALITÉ DES DONNÉES RH &amp; PAIE</x:v>
      </x:c>
      <x:c r="B1" s="142"/>
      <x:c r="C1" s="142"/>
      <x:c r="D1" s="142"/>
      <x:c r="E1" s="142"/>
      <x:c r="F1" s="142"/>
      <x:c r="G1" s="142"/>
      <x:c r="H1" s="142"/>
    </x:row>
    <x:row r="3">
      <x:c r="A3" s="14" t="str">
        <x:v>Contrôle</x:v>
      </x:c>
      <x:c r="B3" s="14" t="str">
        <x:v>Formule / logique</x:v>
      </x:c>
      <x:c r="C3" s="14" t="str">
        <x:v>Résultat</x:v>
      </x:c>
      <x:c r="D3" s="14" t="str">
        <x:v>Niveau</x:v>
      </x:c>
      <x:c r="E3" s="14" t="str">
        <x:v>Action recommandée</x:v>
      </x:c>
    </x:row>
    <x:row r="4">
      <x:c r="A4" s="25" t="str">
        <x:v>Employés actifs sans matricule CNPS</x:v>
      </x:c>
      <x:c r="B4" s="25" t="n">
        <x:f>COUNTIFS(Base_Personnel!$Y$2:$Y$36,"Actif",Base_Personnel!$X$2:$X$36,"")</x:f>
        <x:v>0</x:v>
      </x:c>
      <x:c r="C4" s="64" t="n">
        <x:f>COUNTIFS(Base_Personnel!$Y$2:$Y$36,"Actif",Base_Personnel!$X$2:$X$36,"")</x:f>
        <x:v>0</x:v>
      </x:c>
      <x:c r="D4" s="25" t="str">
        <x:v>Critique</x:v>
      </x:c>
      <x:c r="E4" s="25" t="str">
        <x:v>Compléter le matricule CNPS avant paie</x:v>
      </x:c>
    </x:row>
    <x:row r="5">
      <x:c r="A5" s="25" t="str">
        <x:v>Profils paie à compléter</x:v>
      </x:c>
      <x:c r="B5" s="25" t="n">
        <x:f>COUNTIF(Lot_paie!$AV$2:$AV$36,"Profil paie à compléter")</x:f>
        <x:v>32</x:v>
      </x:c>
      <x:c r="C5" s="64" t="n">
        <x:f>COUNTIF(Lot_paie!$AV$2:$AV$36,"Profil paie à compléter")</x:f>
        <x:v>32</x:v>
      </x:c>
      <x:c r="D5" s="25" t="str">
        <x:v>Critique</x:v>
      </x:c>
      <x:c r="E5" s="25" t="str">
        <x:v>Renseigner les salaires, parts IGR, CMU et transport</x:v>
      </x:c>
    </x:row>
    <x:row r="6">
      <x:c r="A6" s="25" t="str">
        <x:v>Contrats expirés</x:v>
      </x:c>
      <x:c r="B6" s="25" t="n">
        <x:f>COUNTIF(Base_Personnel!$AB$2:$AB$36,"Oui")</x:f>
        <x:v>0</x:v>
      </x:c>
      <x:c r="C6" s="64" t="n">
        <x:f>COUNTIF(Base_Personnel!$AB$2:$AB$36,"Oui")</x:f>
        <x:v>0</x:v>
      </x:c>
      <x:c r="D6" s="25" t="str">
        <x:v>Élevé</x:v>
      </x:c>
      <x:c r="E6" s="25" t="str">
        <x:v>Vérifier dates de fin et statut RH</x:v>
      </x:c>
    </x:row>
    <x:row r="7">
      <x:c r="A7" s="25" t="str">
        <x:v>Bulletins OK</x:v>
      </x:c>
      <x:c r="B7" s="25" t="n">
        <x:f>COUNTIF(Lot_paie!$AV$2:$AV$36,"OK")</x:f>
        <x:v>1</x:v>
      </x:c>
      <x:c r="C7" s="64" t="n">
        <x:f>COUNTIF(Lot_paie!$AV$2:$AV$36,"OK")</x:f>
        <x:v>1</x:v>
      </x:c>
      <x:c r="D7" s="25" t="str">
        <x:v>Information</x:v>
      </x:c>
      <x:c r="E7" s="25" t="str">
        <x:v>Lignes prêtes pour validation</x:v>
      </x:c>
    </x:row>
    <x:row r="8">
      <x:c r="A8" s="25" t="str">
        <x:v>Net à payer négatif</x:v>
      </x:c>
      <x:c r="B8" s="25" t="n">
        <x:f>COUNTIF(Lot_paie!$AT$2:$AT$36,"&lt;0")</x:f>
        <x:v>0</x:v>
      </x:c>
      <x:c r="C8" s="64" t="n">
        <x:f>COUNTIF(Lot_paie!$AT$2:$AT$36,"&lt;0")</x:f>
        <x:v>0</x:v>
      </x:c>
      <x:c r="D8" s="25" t="str">
        <x:v>Critique</x:v>
      </x:c>
      <x:c r="E8" s="25" t="str">
        <x:v>Contrôler retenues et profil paie</x:v>
      </x:c>
    </x:row>
    <x:row r="9">
      <x:c r="A9" s="25" t="str">
        <x:v>Taux AT hors plage 2%-5%</x:v>
      </x:c>
      <x:c r="B9" s="25" t="n">
        <x:f>COUNTIFS(Lot_paie!$T$2:$T$36,"&lt;0.02")+COUNTIFS(Lot_paie!$T$2:$T$36,"&gt;0.05")</x:f>
        <x:v>0</x:v>
      </x:c>
      <x:c r="C9" s="64" t="n">
        <x:f>COUNTIFS(Lot_paie!$T$2:$T$36,"&lt;0.02")+COUNTIFS(Lot_paie!$T$2:$T$36,"&gt;0.05")</x:f>
        <x:v>0</x:v>
      </x:c>
      <x:c r="D9" s="25" t="str">
        <x:v>Élevé</x:v>
      </x:c>
      <x:c r="E9" s="25" t="str">
        <x:v>Valider le taux AT notifié par la CNPS</x:v>
      </x:c>
    </x:row>
  </x:sheetData>
  <x:mergeCells>
    <x:mergeCell ref="A1:H1"/>
  </x:mergeCells>
  <x:conditionalFormatting sqref="C4:C9">
    <x:cfRule type="cellIs" dxfId="2" priority="1" operator="greaterThan">
      <x:formula>0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2" hidden="0" customWidth="1"/>
  </x:cols>
  <x:sheetData>
    <x:row r="1">
      <x:c r="A1" s="14" t="str">
        <x:v>Directions</x:v>
      </x:c>
    </x:row>
    <x:row r="2">
      <x:c r="A2" t="str">
        <x:v>Cabinet de la Direction Exécutive</x:v>
      </x:c>
    </x:row>
    <x:row r="3">
      <x:c r="A3" t="str">
        <x:v>Direction des Services aux Membres et des Programmes</x:v>
      </x:c>
    </x:row>
    <x:row r="4">
      <x:c r="A4" t="str">
        <x:v>Direction Administrative et Financière</x:v>
      </x:c>
    </x:row>
    <x:row r="5">
      <x:c r="A5" t="str">
        <x:v>Non renseigné</x:v>
      </x:c>
    </x:row>
    <x:row r="6">
      <x:c r="A6" t="str"/>
    </x:row>
    <x:row r="7">
      <x:c r="A7" s="14" t="str">
        <x:v>Statuts RH</x:v>
      </x:c>
    </x:row>
    <x:row r="8">
      <x:c r="A8" t="str">
        <x:v>Actif</x:v>
      </x:c>
    </x:row>
    <x:row r="9">
      <x:c r="A9" t="str">
        <x:v>Licencié</x:v>
      </x:c>
    </x:row>
    <x:row r="10">
      <x:c r="A10" t="str">
        <x:v>Suspendu</x:v>
      </x:c>
    </x:row>
    <x:row r="11">
      <x:c r="A11" t="str">
        <x:v>Démissionnaire</x:v>
      </x:c>
    </x:row>
    <x:row r="12">
      <x:c r="A12" t="str">
        <x:v>Retraité</x:v>
      </x:c>
    </x:row>
    <x:row r="13">
      <x:c r="A13" t="str">
        <x:v>Fin de contrat</x:v>
      </x:c>
    </x:row>
    <x:row r="14">
      <x:c r="A14" t="str"/>
    </x:row>
    <x:row r="15">
      <x:c r="A15" s="14" t="str">
        <x:v>Types contrat</x:v>
      </x:c>
    </x:row>
    <x:row r="16">
      <x:c r="A16" t="str">
        <x:v>CDI</x:v>
      </x:c>
    </x:row>
    <x:row r="17">
      <x:c r="A17" t="str">
        <x:v>CDD</x:v>
      </x:c>
    </x:row>
    <x:row r="18">
      <x:c r="A18" t="str">
        <x:v>Stage</x:v>
      </x:c>
    </x:row>
    <x:row r="19">
      <x:c r="A19" t="str">
        <x:v>Consultant</x:v>
      </x:c>
    </x:row>
    <x:row r="20">
      <x:c r="A20" t="str">
        <x:v>Prestataire</x:v>
      </x:c>
    </x:row>
    <x:row r="21">
      <x:c r="A21" t="str"/>
    </x:row>
    <x:row r="22">
      <x:c r="A22" s="14" t="str">
        <x:v>Parts IGR</x:v>
      </x:c>
    </x:row>
    <x:row r="23">
      <x:c r="A23" t="n">
        <x:v>1</x:v>
      </x:c>
    </x:row>
    <x:row r="24">
      <x:c r="A24" t="n">
        <x:v>1.5</x:v>
      </x:c>
    </x:row>
    <x:row r="25">
      <x:c r="A25" t="n">
        <x:v>2</x:v>
      </x:c>
    </x:row>
    <x:row r="26">
      <x:c r="A26" t="n">
        <x:v>2.5</x:v>
      </x:c>
    </x:row>
    <x:row r="27">
      <x:c r="A27" t="n">
        <x:v>3</x:v>
      </x:c>
    </x:row>
    <x:row r="28">
      <x:c r="A28" t="n">
        <x:v>3.5</x:v>
      </x:c>
    </x:row>
    <x:row r="29">
      <x:c r="A29" t="n">
        <x:v>4</x:v>
      </x:c>
    </x:row>
    <x:row r="30">
      <x:c r="A30" t="n">
        <x:v>4.5</x:v>
      </x:c>
    </x:row>
    <x:row r="31">
      <x:c r="A31" t="n">
        <x:v>5</x:v>
      </x:c>
    </x:row>
  </x:sheetData>
  <x:pageMargins left="0.7" right="0.7" top="0.75" bottom="0.75" header="0.3" footer="0.3"/>
</x:worksheet>
</file>